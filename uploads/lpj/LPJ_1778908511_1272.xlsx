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Magang Lapas I\Minggu 7\"/>
    </mc:Choice>
  </mc:AlternateContent>
  <xr:revisionPtr revIDLastSave="0" documentId="13_ncr:1_{16AC7494-11F4-4B38-943A-F5606BE404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J13" i="1" s="1"/>
  <c r="I14" i="1"/>
  <c r="J14" i="1" s="1"/>
  <c r="I15" i="1"/>
  <c r="I16" i="1"/>
  <c r="I17" i="1"/>
  <c r="J17" i="1" s="1"/>
  <c r="I18" i="1"/>
  <c r="I19" i="1"/>
  <c r="I20" i="1"/>
  <c r="I21" i="1"/>
  <c r="I22" i="1"/>
  <c r="J22" i="1" s="1"/>
  <c r="I23" i="1"/>
  <c r="I24" i="1"/>
  <c r="I25" i="1"/>
  <c r="I26" i="1"/>
  <c r="I27" i="1"/>
  <c r="I28" i="1"/>
  <c r="I29" i="1"/>
  <c r="J29" i="1" s="1"/>
  <c r="I30" i="1"/>
  <c r="J30" i="1" s="1"/>
  <c r="I31" i="1"/>
  <c r="I32" i="1"/>
  <c r="I33" i="1"/>
  <c r="J33" i="1" s="1"/>
  <c r="I34" i="1"/>
  <c r="J34" i="1" s="1"/>
  <c r="I35" i="1"/>
  <c r="I36" i="1"/>
  <c r="I37" i="1"/>
  <c r="I38" i="1"/>
  <c r="J38" i="1" s="1"/>
  <c r="I39" i="1"/>
  <c r="I40" i="1"/>
  <c r="I41" i="1"/>
  <c r="I42" i="1"/>
  <c r="I43" i="1"/>
  <c r="I44" i="1"/>
  <c r="I45" i="1"/>
  <c r="J45" i="1" s="1"/>
  <c r="I46" i="1"/>
  <c r="J46" i="1" s="1"/>
  <c r="I47" i="1"/>
  <c r="I48" i="1"/>
  <c r="I49" i="1"/>
  <c r="J49" i="1" s="1"/>
  <c r="I50" i="1"/>
  <c r="J50" i="1" s="1"/>
  <c r="I51" i="1"/>
  <c r="I52" i="1"/>
  <c r="I53" i="1"/>
  <c r="I54" i="1"/>
  <c r="J54" i="1" s="1"/>
  <c r="I55" i="1"/>
  <c r="I56" i="1"/>
  <c r="I57" i="1"/>
  <c r="I58" i="1"/>
  <c r="I59" i="1"/>
  <c r="I60" i="1"/>
  <c r="I61" i="1"/>
  <c r="J61" i="1" s="1"/>
  <c r="I62" i="1"/>
  <c r="J62" i="1" s="1"/>
  <c r="I63" i="1"/>
  <c r="I64" i="1"/>
  <c r="I65" i="1"/>
  <c r="J65" i="1" s="1"/>
  <c r="I66" i="1"/>
  <c r="J66" i="1" s="1"/>
  <c r="I67" i="1"/>
  <c r="I68" i="1"/>
  <c r="I69" i="1"/>
  <c r="I70" i="1"/>
  <c r="J70" i="1" s="1"/>
  <c r="I71" i="1"/>
  <c r="I72" i="1"/>
  <c r="I73" i="1"/>
  <c r="I74" i="1"/>
  <c r="I75" i="1"/>
  <c r="I76" i="1"/>
  <c r="I77" i="1"/>
  <c r="J77" i="1" s="1"/>
  <c r="I78" i="1"/>
  <c r="J78" i="1" s="1"/>
  <c r="I79" i="1"/>
  <c r="I80" i="1"/>
  <c r="I81" i="1"/>
  <c r="J81" i="1" s="1"/>
  <c r="I82" i="1"/>
  <c r="J82" i="1" s="1"/>
  <c r="I83" i="1"/>
  <c r="I84" i="1"/>
  <c r="I85" i="1"/>
  <c r="I86" i="1"/>
  <c r="J86" i="1" s="1"/>
  <c r="I87" i="1"/>
  <c r="I88" i="1"/>
  <c r="I89" i="1"/>
  <c r="I90" i="1"/>
  <c r="I91" i="1"/>
  <c r="I92" i="1"/>
  <c r="I93" i="1"/>
  <c r="J93" i="1" s="1"/>
  <c r="I94" i="1"/>
  <c r="J94" i="1" s="1"/>
  <c r="I95" i="1"/>
  <c r="I96" i="1"/>
  <c r="I97" i="1"/>
  <c r="J97" i="1" s="1"/>
  <c r="I98" i="1"/>
  <c r="J98" i="1" s="1"/>
  <c r="I99" i="1"/>
  <c r="I100" i="1"/>
  <c r="I101" i="1"/>
  <c r="I102" i="1"/>
  <c r="J102" i="1" s="1"/>
  <c r="I103" i="1"/>
  <c r="I104" i="1"/>
  <c r="I105" i="1"/>
  <c r="I106" i="1"/>
  <c r="I107" i="1"/>
  <c r="I108" i="1"/>
  <c r="I109" i="1"/>
  <c r="I110" i="1"/>
  <c r="J110" i="1" s="1"/>
  <c r="I111" i="1"/>
  <c r="I112" i="1"/>
  <c r="I113" i="1"/>
  <c r="J113" i="1" s="1"/>
  <c r="I114" i="1"/>
  <c r="J114" i="1" s="1"/>
  <c r="I115" i="1"/>
  <c r="I116" i="1"/>
  <c r="I117" i="1"/>
  <c r="I118" i="1"/>
  <c r="J118" i="1" s="1"/>
  <c r="I119" i="1"/>
  <c r="I120" i="1"/>
  <c r="I121" i="1"/>
  <c r="I122" i="1"/>
  <c r="I123" i="1"/>
  <c r="I124" i="1"/>
  <c r="I125" i="1"/>
  <c r="I126" i="1"/>
  <c r="J126" i="1" s="1"/>
  <c r="I127" i="1"/>
  <c r="I128" i="1"/>
  <c r="I129" i="1"/>
  <c r="J129" i="1" s="1"/>
  <c r="I130" i="1"/>
  <c r="J130" i="1" s="1"/>
  <c r="I131" i="1"/>
  <c r="I132" i="1"/>
  <c r="I133" i="1"/>
  <c r="I134" i="1"/>
  <c r="J134" i="1" s="1"/>
  <c r="I135" i="1"/>
  <c r="I136" i="1"/>
  <c r="I137" i="1"/>
  <c r="I138" i="1"/>
  <c r="I139" i="1"/>
  <c r="I140" i="1"/>
  <c r="I141" i="1"/>
  <c r="J141" i="1" s="1"/>
  <c r="I142" i="1"/>
  <c r="J142" i="1" s="1"/>
  <c r="I143" i="1"/>
  <c r="I144" i="1"/>
  <c r="H16" i="1"/>
  <c r="H17" i="1"/>
  <c r="H18" i="1"/>
  <c r="H19" i="1"/>
  <c r="J19" i="1" s="1"/>
  <c r="H20" i="1"/>
  <c r="H21" i="1"/>
  <c r="H22" i="1"/>
  <c r="H23" i="1"/>
  <c r="J23" i="1" s="1"/>
  <c r="H24" i="1"/>
  <c r="H25" i="1"/>
  <c r="H26" i="1"/>
  <c r="H27" i="1"/>
  <c r="J27" i="1" s="1"/>
  <c r="H28" i="1"/>
  <c r="H29" i="1"/>
  <c r="H30" i="1"/>
  <c r="H31" i="1"/>
  <c r="J31" i="1" s="1"/>
  <c r="H32" i="1"/>
  <c r="H33" i="1"/>
  <c r="H34" i="1"/>
  <c r="H35" i="1"/>
  <c r="J35" i="1" s="1"/>
  <c r="H36" i="1"/>
  <c r="H37" i="1"/>
  <c r="H38" i="1"/>
  <c r="H39" i="1"/>
  <c r="J39" i="1" s="1"/>
  <c r="H40" i="1"/>
  <c r="H41" i="1"/>
  <c r="H42" i="1"/>
  <c r="H43" i="1"/>
  <c r="J43" i="1" s="1"/>
  <c r="H44" i="1"/>
  <c r="H45" i="1"/>
  <c r="H46" i="1"/>
  <c r="H47" i="1"/>
  <c r="J47" i="1" s="1"/>
  <c r="H48" i="1"/>
  <c r="H49" i="1"/>
  <c r="H50" i="1"/>
  <c r="H51" i="1"/>
  <c r="J51" i="1" s="1"/>
  <c r="H52" i="1"/>
  <c r="H53" i="1"/>
  <c r="H54" i="1"/>
  <c r="H55" i="1"/>
  <c r="J55" i="1" s="1"/>
  <c r="H56" i="1"/>
  <c r="H57" i="1"/>
  <c r="H58" i="1"/>
  <c r="H59" i="1"/>
  <c r="J59" i="1" s="1"/>
  <c r="H60" i="1"/>
  <c r="H61" i="1"/>
  <c r="H62" i="1"/>
  <c r="H63" i="1"/>
  <c r="J63" i="1" s="1"/>
  <c r="H64" i="1"/>
  <c r="H65" i="1"/>
  <c r="H66" i="1"/>
  <c r="H67" i="1"/>
  <c r="J67" i="1" s="1"/>
  <c r="H68" i="1"/>
  <c r="H69" i="1"/>
  <c r="H70" i="1"/>
  <c r="H71" i="1"/>
  <c r="J71" i="1" s="1"/>
  <c r="H72" i="1"/>
  <c r="H73" i="1"/>
  <c r="H74" i="1"/>
  <c r="H75" i="1"/>
  <c r="J75" i="1" s="1"/>
  <c r="H76" i="1"/>
  <c r="H77" i="1"/>
  <c r="H78" i="1"/>
  <c r="H79" i="1"/>
  <c r="J79" i="1" s="1"/>
  <c r="H80" i="1"/>
  <c r="H81" i="1"/>
  <c r="H82" i="1"/>
  <c r="H83" i="1"/>
  <c r="J83" i="1" s="1"/>
  <c r="H84" i="1"/>
  <c r="H85" i="1"/>
  <c r="H86" i="1"/>
  <c r="H87" i="1"/>
  <c r="J87" i="1" s="1"/>
  <c r="H88" i="1"/>
  <c r="H89" i="1"/>
  <c r="H90" i="1"/>
  <c r="H91" i="1"/>
  <c r="J91" i="1" s="1"/>
  <c r="H92" i="1"/>
  <c r="H93" i="1"/>
  <c r="H94" i="1"/>
  <c r="H95" i="1"/>
  <c r="J95" i="1" s="1"/>
  <c r="H96" i="1"/>
  <c r="H97" i="1"/>
  <c r="H98" i="1"/>
  <c r="H99" i="1"/>
  <c r="J99" i="1" s="1"/>
  <c r="H100" i="1"/>
  <c r="H101" i="1"/>
  <c r="H102" i="1"/>
  <c r="H103" i="1"/>
  <c r="J103" i="1" s="1"/>
  <c r="H104" i="1"/>
  <c r="H105" i="1"/>
  <c r="H106" i="1"/>
  <c r="H107" i="1"/>
  <c r="J107" i="1" s="1"/>
  <c r="H108" i="1"/>
  <c r="H109" i="1"/>
  <c r="H110" i="1"/>
  <c r="H111" i="1"/>
  <c r="J111" i="1" s="1"/>
  <c r="H112" i="1"/>
  <c r="H113" i="1"/>
  <c r="H114" i="1"/>
  <c r="H115" i="1"/>
  <c r="J115" i="1" s="1"/>
  <c r="H116" i="1"/>
  <c r="H117" i="1"/>
  <c r="H118" i="1"/>
  <c r="H119" i="1"/>
  <c r="J119" i="1" s="1"/>
  <c r="H120" i="1"/>
  <c r="H121" i="1"/>
  <c r="H122" i="1"/>
  <c r="H123" i="1"/>
  <c r="J123" i="1" s="1"/>
  <c r="H124" i="1"/>
  <c r="H125" i="1"/>
  <c r="H126" i="1"/>
  <c r="H127" i="1"/>
  <c r="J127" i="1" s="1"/>
  <c r="H128" i="1"/>
  <c r="H129" i="1"/>
  <c r="H130" i="1"/>
  <c r="H131" i="1"/>
  <c r="J131" i="1" s="1"/>
  <c r="H132" i="1"/>
  <c r="H133" i="1"/>
  <c r="H134" i="1"/>
  <c r="H135" i="1"/>
  <c r="J135" i="1" s="1"/>
  <c r="H136" i="1"/>
  <c r="H137" i="1"/>
  <c r="H138" i="1"/>
  <c r="H139" i="1"/>
  <c r="J139" i="1" s="1"/>
  <c r="H140" i="1"/>
  <c r="H141" i="1"/>
  <c r="H142" i="1"/>
  <c r="H143" i="1"/>
  <c r="J143" i="1" s="1"/>
  <c r="H144" i="1"/>
  <c r="J3" i="1"/>
  <c r="J4" i="1"/>
  <c r="J5" i="1"/>
  <c r="J6" i="1"/>
  <c r="J7" i="1"/>
  <c r="J8" i="1"/>
  <c r="J9" i="1"/>
  <c r="J10" i="1"/>
  <c r="J11" i="1"/>
  <c r="J12" i="1"/>
  <c r="J15" i="1"/>
  <c r="J16" i="1"/>
  <c r="J20" i="1"/>
  <c r="J21" i="1"/>
  <c r="J24" i="1"/>
  <c r="J25" i="1"/>
  <c r="J26" i="1"/>
  <c r="J28" i="1"/>
  <c r="J32" i="1"/>
  <c r="J36" i="1"/>
  <c r="J37" i="1"/>
  <c r="J40" i="1"/>
  <c r="J41" i="1"/>
  <c r="J42" i="1"/>
  <c r="J44" i="1"/>
  <c r="J48" i="1"/>
  <c r="J52" i="1"/>
  <c r="J53" i="1"/>
  <c r="J56" i="1"/>
  <c r="J57" i="1"/>
  <c r="J58" i="1"/>
  <c r="J60" i="1"/>
  <c r="J64" i="1"/>
  <c r="J68" i="1"/>
  <c r="J69" i="1"/>
  <c r="J72" i="1"/>
  <c r="J73" i="1"/>
  <c r="J74" i="1"/>
  <c r="J76" i="1"/>
  <c r="J80" i="1"/>
  <c r="J84" i="1"/>
  <c r="J85" i="1"/>
  <c r="J88" i="1"/>
  <c r="J89" i="1"/>
  <c r="J90" i="1"/>
  <c r="J92" i="1"/>
  <c r="J96" i="1"/>
  <c r="J100" i="1"/>
  <c r="J101" i="1"/>
  <c r="J104" i="1"/>
  <c r="J105" i="1"/>
  <c r="J106" i="1"/>
  <c r="J108" i="1"/>
  <c r="J109" i="1"/>
  <c r="J112" i="1"/>
  <c r="J116" i="1"/>
  <c r="J117" i="1"/>
  <c r="J120" i="1"/>
  <c r="J121" i="1"/>
  <c r="J122" i="1"/>
  <c r="J124" i="1"/>
  <c r="J125" i="1"/>
  <c r="J128" i="1"/>
  <c r="J132" i="1"/>
  <c r="J133" i="1"/>
  <c r="J136" i="1"/>
  <c r="J137" i="1"/>
  <c r="J138" i="1"/>
  <c r="J140" i="1"/>
  <c r="J144" i="1"/>
  <c r="J2" i="1"/>
  <c r="I3" i="1"/>
  <c r="I4" i="1"/>
  <c r="I5" i="1"/>
  <c r="I6" i="1"/>
  <c r="I7" i="1"/>
  <c r="I8" i="1"/>
  <c r="I9" i="1"/>
  <c r="I1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J18" i="1" l="1"/>
</calcChain>
</file>

<file path=xl/sharedStrings.xml><?xml version="1.0" encoding="utf-8"?>
<sst xmlns="http://schemas.openxmlformats.org/spreadsheetml/2006/main" count="4468" uniqueCount="1023">
  <si>
    <t>kdsatker_induk</t>
  </si>
  <si>
    <t>kdsatker_bekerja</t>
  </si>
  <si>
    <t>kdsatker_bayar</t>
  </si>
  <si>
    <t>kdanak</t>
  </si>
  <si>
    <t>nip</t>
  </si>
  <si>
    <t>nama</t>
  </si>
  <si>
    <t>jenis_kelamin</t>
  </si>
  <si>
    <t>golongan</t>
  </si>
  <si>
    <t>nama_golongan</t>
  </si>
  <si>
    <t>jabatan</t>
  </si>
  <si>
    <t>npwp</t>
  </si>
  <si>
    <t>kode_bank_span</t>
  </si>
  <si>
    <t>nama_bank_span</t>
  </si>
  <si>
    <t>rekening</t>
  </si>
  <si>
    <t>nmrek</t>
  </si>
  <si>
    <t>kdduduk</t>
  </si>
  <si>
    <t>kdgapok</t>
  </si>
  <si>
    <t>kdkawin</t>
  </si>
  <si>
    <t>pberas</t>
  </si>
  <si>
    <t>kdhakim</t>
  </si>
  <si>
    <t>kdpapua</t>
  </si>
  <si>
    <t>kdpencil</t>
  </si>
  <si>
    <t>tahungapok</t>
  </si>
  <si>
    <t>kdbpjs2</t>
  </si>
  <si>
    <t>bulanakhir</t>
  </si>
  <si>
    <t>tahunakhir</t>
  </si>
  <si>
    <t>kdjab</t>
  </si>
  <si>
    <t>jablain</t>
  </si>
  <si>
    <t>tumum</t>
  </si>
  <si>
    <t>sewarumah</t>
  </si>
  <si>
    <t>npwp16</t>
  </si>
  <si>
    <t>nokk</t>
  </si>
  <si>
    <t>692141</t>
  </si>
  <si>
    <t>694677</t>
  </si>
  <si>
    <t>00</t>
  </si>
  <si>
    <t>199512162017121001</t>
  </si>
  <si>
    <t xml:space="preserve">ABDUL AZIZ                                                                                          </t>
  </si>
  <si>
    <t>L</t>
  </si>
  <si>
    <t>II/b</t>
  </si>
  <si>
    <t>Pengatur Muda Tk.I</t>
  </si>
  <si>
    <t xml:space="preserve">Petugas Pemasyarakatan GOL II                                                                                                                                                                           </t>
  </si>
  <si>
    <t>840305916437000</t>
  </si>
  <si>
    <t>520002000990</t>
  </si>
  <si>
    <t>BANK RAKYAT INDONESIA</t>
  </si>
  <si>
    <t xml:space="preserve">010701076392500               </t>
  </si>
  <si>
    <t>01</t>
  </si>
  <si>
    <t>2B07</t>
  </si>
  <si>
    <t>1000</t>
  </si>
  <si>
    <t>1</t>
  </si>
  <si>
    <t>2</t>
  </si>
  <si>
    <t>2024</t>
  </si>
  <si>
    <t>0</t>
  </si>
  <si>
    <t xml:space="preserve">  </t>
  </si>
  <si>
    <t xml:space="preserve">    </t>
  </si>
  <si>
    <t>08103</t>
  </si>
  <si>
    <t>99999</t>
  </si>
  <si>
    <t>3212251612950003</t>
  </si>
  <si>
    <t>3212252504130002</t>
  </si>
  <si>
    <t>200303232022031004</t>
  </si>
  <si>
    <t xml:space="preserve">ABDUL HAMID                                                                                         </t>
  </si>
  <si>
    <t>II/a</t>
  </si>
  <si>
    <t>Pengatur Muda</t>
  </si>
  <si>
    <t>650147176455000</t>
  </si>
  <si>
    <t>010701137487507</t>
  </si>
  <si>
    <t>ABDUL HAMID</t>
  </si>
  <si>
    <t>2A03</t>
  </si>
  <si>
    <t/>
  </si>
  <si>
    <t>3209362303030004</t>
  </si>
  <si>
    <t>3209361012140010</t>
  </si>
  <si>
    <t>199111152017121002</t>
  </si>
  <si>
    <t xml:space="preserve">ADE FIRMAN JATNIKA                                                                                  </t>
  </si>
  <si>
    <t>840116750442000</t>
  </si>
  <si>
    <t xml:space="preserve">010701076387505               </t>
  </si>
  <si>
    <t>1101</t>
  </si>
  <si>
    <t>3207151511910001</t>
  </si>
  <si>
    <t>3207152710170001</t>
  </si>
  <si>
    <t>199412242020121001</t>
  </si>
  <si>
    <t xml:space="preserve">ADE GIVAN IRSANDI                                                                                   </t>
  </si>
  <si>
    <t>969967132455000</t>
  </si>
  <si>
    <t>010701137486501</t>
  </si>
  <si>
    <t>ADE GIVAN IRSANDI</t>
  </si>
  <si>
    <t>2B05</t>
  </si>
  <si>
    <t>1102</t>
  </si>
  <si>
    <t>3209232412940005</t>
  </si>
  <si>
    <t>3209231007170008</t>
  </si>
  <si>
    <t>198007172007031001</t>
  </si>
  <si>
    <t xml:space="preserve">ADE SISWANTO                                                                                        </t>
  </si>
  <si>
    <t>III/d</t>
  </si>
  <si>
    <t>Penata Tk.I</t>
  </si>
  <si>
    <t xml:space="preserve">Petugas Pemasyarakatan GOL III                                                                                                                                                                          </t>
  </si>
  <si>
    <t>579616004438000</t>
  </si>
  <si>
    <t xml:space="preserve">131801000869503               </t>
  </si>
  <si>
    <t>3D13</t>
  </si>
  <si>
    <t>08102</t>
  </si>
  <si>
    <t>3208161707800003</t>
  </si>
  <si>
    <t>3208161411070019</t>
  </si>
  <si>
    <t>198505152007031001</t>
  </si>
  <si>
    <t xml:space="preserve">AEP SLAMET RIYADI                                                                                   </t>
  </si>
  <si>
    <t>III/c</t>
  </si>
  <si>
    <t>Penata</t>
  </si>
  <si>
    <t>579615964438000</t>
  </si>
  <si>
    <t xml:space="preserve">010701050005507               </t>
  </si>
  <si>
    <t>3C13</t>
  </si>
  <si>
    <t>3209191505850016</t>
  </si>
  <si>
    <t>3209192312110009</t>
  </si>
  <si>
    <t>196808131990031002</t>
  </si>
  <si>
    <t xml:space="preserve">AGUSTIYAR EKANTORO, Bc.I.P.,S.Sos.,M.M                                                              </t>
  </si>
  <si>
    <t>IV/a</t>
  </si>
  <si>
    <t>Pembina</t>
  </si>
  <si>
    <t xml:space="preserve">Eselon III B                                                                                                                                                                                            </t>
  </si>
  <si>
    <t>492135025526000</t>
  </si>
  <si>
    <t xml:space="preserve">018201015430505               </t>
  </si>
  <si>
    <t xml:space="preserve">AGUSTIYAR EKANTORO, BC.IP.,S.SOS                                                                    </t>
  </si>
  <si>
    <t>4A32</t>
  </si>
  <si>
    <t>00132</t>
  </si>
  <si>
    <t>3372051308680009</t>
  </si>
  <si>
    <t>3372053004100004</t>
  </si>
  <si>
    <t>199507182022031006</t>
  </si>
  <si>
    <t xml:space="preserve">AHMAD FAKHRUDDIN                                                                                    </t>
  </si>
  <si>
    <t>101811230437000</t>
  </si>
  <si>
    <t>010701137488503</t>
  </si>
  <si>
    <t>AHMAD FAKHRUDDIN</t>
  </si>
  <si>
    <t>3212211807950001</t>
  </si>
  <si>
    <t>3212151701220011</t>
  </si>
  <si>
    <t>200501102024041002</t>
  </si>
  <si>
    <t xml:space="preserve">AHMAD RIZA YANUARI MUNANDAR                                                                         </t>
  </si>
  <si>
    <t>206452518436000</t>
  </si>
  <si>
    <t xml:space="preserve">010701130118505               </t>
  </si>
  <si>
    <t>2A01</t>
  </si>
  <si>
    <t>3201071001050008</t>
  </si>
  <si>
    <t>3201071807230005</t>
  </si>
  <si>
    <t>200206222025061006</t>
  </si>
  <si>
    <t>AHMAD YUSUF AFANDI</t>
  </si>
  <si>
    <t xml:space="preserve">Pelaksana                                                                                                                                                                                               </t>
  </si>
  <si>
    <t>3273302206020003</t>
  </si>
  <si>
    <t>010701142325504</t>
  </si>
  <si>
    <t>2A00</t>
  </si>
  <si>
    <t>3273301410101179</t>
  </si>
  <si>
    <t>199306282017121002</t>
  </si>
  <si>
    <t xml:space="preserve">AJI WIRYAHMAN                                                                                       </t>
  </si>
  <si>
    <t>720321793435000</t>
  </si>
  <si>
    <t xml:space="preserve">010701076401503               </t>
  </si>
  <si>
    <t>3216062806930011</t>
  </si>
  <si>
    <t>3208132102220001</t>
  </si>
  <si>
    <t>199803312017121004</t>
  </si>
  <si>
    <t xml:space="preserve">ALDITIA ABDUL MUSTAPA                                                                               </t>
  </si>
  <si>
    <t>840083380442000</t>
  </si>
  <si>
    <t xml:space="preserve">009201074607500               </t>
  </si>
  <si>
    <t>1100</t>
  </si>
  <si>
    <t>3328143103980001</t>
  </si>
  <si>
    <t>3207170401170001</t>
  </si>
  <si>
    <t>199402282017121007</t>
  </si>
  <si>
    <t xml:space="preserve">ANDRI RAMDHON FIRMANSYAH                                                                            </t>
  </si>
  <si>
    <t>810585315437000</t>
  </si>
  <si>
    <t xml:space="preserve">010701076379502               </t>
  </si>
  <si>
    <t>3212152802940002</t>
  </si>
  <si>
    <t>3212152906210007</t>
  </si>
  <si>
    <t>200306132025061003</t>
  </si>
  <si>
    <t>ANDRI SUTRI YAHANDI</t>
  </si>
  <si>
    <t>3275101306030002</t>
  </si>
  <si>
    <t>010701142330509</t>
  </si>
  <si>
    <t>3275101512090024</t>
  </si>
  <si>
    <t>197907192000031001</t>
  </si>
  <si>
    <t xml:space="preserve">ARI HIDAYAT                                                                                         </t>
  </si>
  <si>
    <t>492655584426000</t>
  </si>
  <si>
    <t xml:space="preserve">010701054629507               </t>
  </si>
  <si>
    <t>3D20</t>
  </si>
  <si>
    <t>3209211907790008</t>
  </si>
  <si>
    <t>3209210807080073</t>
  </si>
  <si>
    <t>199406072012121001</t>
  </si>
  <si>
    <t xml:space="preserve">ARIEF NUROCHMAN                                                                                     </t>
  </si>
  <si>
    <t>II/d</t>
  </si>
  <si>
    <t>Pengatur Tk.I</t>
  </si>
  <si>
    <t>550024475403000</t>
  </si>
  <si>
    <t xml:space="preserve">112801012665502               </t>
  </si>
  <si>
    <t>2D13</t>
  </si>
  <si>
    <t>3274020706940007</t>
  </si>
  <si>
    <t>3274022109150001</t>
  </si>
  <si>
    <t>200010242025062014</t>
  </si>
  <si>
    <t>AYU NURLAELA</t>
  </si>
  <si>
    <t>P</t>
  </si>
  <si>
    <t>3204266410000001</t>
  </si>
  <si>
    <t>010701142327506</t>
  </si>
  <si>
    <t>3204262004070007</t>
  </si>
  <si>
    <t>200303122025061002</t>
  </si>
  <si>
    <t>AZIZ MARTIADI</t>
  </si>
  <si>
    <t>3277011203030020</t>
  </si>
  <si>
    <t>010701142326500</t>
  </si>
  <si>
    <t>3277011210060254</t>
  </si>
  <si>
    <t>199112182019011001</t>
  </si>
  <si>
    <t xml:space="preserve">BANGGA SENTOSA                                                                                      </t>
  </si>
  <si>
    <t>445767254426000</t>
  </si>
  <si>
    <t xml:space="preserve">010701115459502               </t>
  </si>
  <si>
    <t>3209201812910004</t>
  </si>
  <si>
    <t>3209361505190001</t>
  </si>
  <si>
    <t>198611292005011001</t>
  </si>
  <si>
    <t>BIMA GANESHA WIDYADARMA, AMD.IP</t>
  </si>
  <si>
    <t xml:space="preserve">255123796412000 </t>
  </si>
  <si>
    <t>007701074839509</t>
  </si>
  <si>
    <t>BIMA GANESHA WIDYADARMA</t>
  </si>
  <si>
    <t>3D16</t>
  </si>
  <si>
    <t>3603172911860005</t>
  </si>
  <si>
    <t>3302240202160008</t>
  </si>
  <si>
    <t>199411242016081001</t>
  </si>
  <si>
    <t>BUNGARAN M HOTASI, A.Md.P.</t>
  </si>
  <si>
    <t>III/b</t>
  </si>
  <si>
    <t>Penata Muda Tk.I</t>
  </si>
  <si>
    <t xml:space="preserve">Eselon IV B                                                                                                                                                                                             </t>
  </si>
  <si>
    <t xml:space="preserve">767156383321000 </t>
  </si>
  <si>
    <t>053801067861509</t>
  </si>
  <si>
    <t>BUNGARAN M HOTASI</t>
  </si>
  <si>
    <t>3B07</t>
  </si>
  <si>
    <t>00142</t>
  </si>
  <si>
    <t>3175052411940001</t>
  </si>
  <si>
    <t>3175051301170001</t>
  </si>
  <si>
    <t>199304152017121004</t>
  </si>
  <si>
    <t xml:space="preserve">CAHYADI                                                                                             </t>
  </si>
  <si>
    <t>834574352424000</t>
  </si>
  <si>
    <t xml:space="preserve">010701076407509               </t>
  </si>
  <si>
    <t>3273161504930003</t>
  </si>
  <si>
    <t>3273162805150010</t>
  </si>
  <si>
    <t>197903012007031001</t>
  </si>
  <si>
    <t xml:space="preserve">CASMIRA                                                                                             </t>
  </si>
  <si>
    <t>579615980426000</t>
  </si>
  <si>
    <t xml:space="preserve">131801000874508               </t>
  </si>
  <si>
    <t>3C12</t>
  </si>
  <si>
    <t>3209400103790001</t>
  </si>
  <si>
    <t>3209401111110001</t>
  </si>
  <si>
    <t>197105061994031002</t>
  </si>
  <si>
    <t>CHANDRA WIHARTO,AMD.IP,S.SOS</t>
  </si>
  <si>
    <t xml:space="preserve">783474505735000 </t>
  </si>
  <si>
    <t>010701139673502</t>
  </si>
  <si>
    <t>CHANDRA WIHARTO</t>
  </si>
  <si>
    <t>4A28</t>
  </si>
  <si>
    <t>3209260605710001</t>
  </si>
  <si>
    <t>3209311704180005</t>
  </si>
  <si>
    <t>197807242000031001</t>
  </si>
  <si>
    <t xml:space="preserve">CIPTO                                                                                               </t>
  </si>
  <si>
    <t>492656350426000</t>
  </si>
  <si>
    <t xml:space="preserve">010701049990507               </t>
  </si>
  <si>
    <t>3274052407780007</t>
  </si>
  <si>
    <t>3274052905070095</t>
  </si>
  <si>
    <t>199105312017121002</t>
  </si>
  <si>
    <t xml:space="preserve">DAHLAN                                                                                              </t>
  </si>
  <si>
    <t>669017568444000</t>
  </si>
  <si>
    <t xml:space="preserve">010701076481503               </t>
  </si>
  <si>
    <t>3204343105910002</t>
  </si>
  <si>
    <t>3204362709190003</t>
  </si>
  <si>
    <t>200102042020121001</t>
  </si>
  <si>
    <t xml:space="preserve">DANI MALIK                                                                                          </t>
  </si>
  <si>
    <t>966515397426000</t>
  </si>
  <si>
    <t xml:space="preserve">010701080781505               </t>
  </si>
  <si>
    <t>3274010402010003</t>
  </si>
  <si>
    <t>3274011906070109</t>
  </si>
  <si>
    <t>199801162017121003</t>
  </si>
  <si>
    <t xml:space="preserve">DANU SUHADA                                                                                         </t>
  </si>
  <si>
    <t>766702468426000</t>
  </si>
  <si>
    <t xml:space="preserve">222101021188502               </t>
  </si>
  <si>
    <t>3209271601980004</t>
  </si>
  <si>
    <t>3209272802064004</t>
  </si>
  <si>
    <t>198510052007031001</t>
  </si>
  <si>
    <t xml:space="preserve">DARSONO                                                                                             </t>
  </si>
  <si>
    <t>579615998437000</t>
  </si>
  <si>
    <t xml:space="preserve">010701049977509               </t>
  </si>
  <si>
    <t>3274050510850009</t>
  </si>
  <si>
    <t>3274051506110013</t>
  </si>
  <si>
    <t>199311132017121002</t>
  </si>
  <si>
    <t xml:space="preserve">DEDI SUPRIADI                                                                                       </t>
  </si>
  <si>
    <t>768128415024000</t>
  </si>
  <si>
    <t xml:space="preserve">010701076424501               </t>
  </si>
  <si>
    <t>3208162211930001</t>
  </si>
  <si>
    <t>3208091503210002</t>
  </si>
  <si>
    <t>198110172007031001</t>
  </si>
  <si>
    <t xml:space="preserve">DENNIS AFFANDI                                                                                      </t>
  </si>
  <si>
    <t>III/a</t>
  </si>
  <si>
    <t>Penata Muda</t>
  </si>
  <si>
    <t>492656079426000</t>
  </si>
  <si>
    <t xml:space="preserve">010701049931503               </t>
  </si>
  <si>
    <t>3A12</t>
  </si>
  <si>
    <t>1002</t>
  </si>
  <si>
    <t>3209141710810003</t>
  </si>
  <si>
    <t>3209141404110011</t>
  </si>
  <si>
    <t>197709112000031002</t>
  </si>
  <si>
    <t xml:space="preserve">DIDI SUBANDI                                                                                        </t>
  </si>
  <si>
    <t>094086196426000</t>
  </si>
  <si>
    <t xml:space="preserve">010701049973505               </t>
  </si>
  <si>
    <t>3B20</t>
  </si>
  <si>
    <t>3274021109770002</t>
  </si>
  <si>
    <t>3209072309210003</t>
  </si>
  <si>
    <t>200001162022031003</t>
  </si>
  <si>
    <t>DONI MUHAMAD RIFAI</t>
  </si>
  <si>
    <t>650189426442000</t>
  </si>
  <si>
    <t>010701137489509</t>
  </si>
  <si>
    <t>3207191001000001</t>
  </si>
  <si>
    <t>3279022509250001</t>
  </si>
  <si>
    <t>198001312007031001</t>
  </si>
  <si>
    <t xml:space="preserve">DONY KARYANA                                                                                        </t>
  </si>
  <si>
    <t>492655964426000</t>
  </si>
  <si>
    <t xml:space="preserve">010701049926508               </t>
  </si>
  <si>
    <t>3274043101800006</t>
  </si>
  <si>
    <t>3274041201100004</t>
  </si>
  <si>
    <t>198003072000121001</t>
  </si>
  <si>
    <t>Dr.Tr. NANANK SYAMSUDIN, AMd.IP., S.H., M.H.</t>
  </si>
  <si>
    <t>IV/b</t>
  </si>
  <si>
    <t>Pembina Tk.I</t>
  </si>
  <si>
    <t xml:space="preserve">Eselon II B                                                                                                                                                                                             </t>
  </si>
  <si>
    <t xml:space="preserve">498901727002000 </t>
  </si>
  <si>
    <t>012201047928500</t>
  </si>
  <si>
    <t>NANANK SYAMSUDIN, A.Md.IP, S.Sos</t>
  </si>
  <si>
    <t>4B20</t>
  </si>
  <si>
    <t>00122</t>
  </si>
  <si>
    <t>3175030703800005</t>
  </si>
  <si>
    <t>3175031901093767</t>
  </si>
  <si>
    <t>196803181994032001</t>
  </si>
  <si>
    <t xml:space="preserve">Dra. SRI RAHAYU RETNASIH,M.Si                                                                       </t>
  </si>
  <si>
    <t>789259553426000</t>
  </si>
  <si>
    <t>010701137484509</t>
  </si>
  <si>
    <t>SRI RAHAYU RETNASIH</t>
  </si>
  <si>
    <t>4A30</t>
  </si>
  <si>
    <t>3209175803680004</t>
  </si>
  <si>
    <t>3209172506080001</t>
  </si>
  <si>
    <t>196804171993031001</t>
  </si>
  <si>
    <t>Drs. Moch. Kund Bedraningrat, M.Si.</t>
  </si>
  <si>
    <t xml:space="preserve">681674537444000 </t>
  </si>
  <si>
    <t>035401048768508</t>
  </si>
  <si>
    <t>DRS. M. K.BEDRANINGRAT M.SI</t>
  </si>
  <si>
    <t>3204051704680009</t>
  </si>
  <si>
    <t>3204052909060030</t>
  </si>
  <si>
    <t>197802252002121001</t>
  </si>
  <si>
    <t xml:space="preserve">EBO SUPARDI                                                                                         </t>
  </si>
  <si>
    <t>586484198426000</t>
  </si>
  <si>
    <t xml:space="preserve">010701049963500               </t>
  </si>
  <si>
    <t>3B18</t>
  </si>
  <si>
    <t>3274052502780006</t>
  </si>
  <si>
    <t>3274051311080011</t>
  </si>
  <si>
    <t>198311092007031002</t>
  </si>
  <si>
    <t xml:space="preserve">EKA DWI SAPUTRA                                                                                     </t>
  </si>
  <si>
    <t>492655998426000</t>
  </si>
  <si>
    <t xml:space="preserve">010701049922504               </t>
  </si>
  <si>
    <t>3274050911830007</t>
  </si>
  <si>
    <t>3274052911180005</t>
  </si>
  <si>
    <t>197811122000031002</t>
  </si>
  <si>
    <t xml:space="preserve">ENCENG                                                                                              </t>
  </si>
  <si>
    <t>094086220438000</t>
  </si>
  <si>
    <t xml:space="preserve">010701049943500               </t>
  </si>
  <si>
    <t>3210181211780001</t>
  </si>
  <si>
    <t>3210181509060010</t>
  </si>
  <si>
    <t>199606182017121002</t>
  </si>
  <si>
    <t xml:space="preserve">ENCEP AHSANUDIN                                                                                     </t>
  </si>
  <si>
    <t>840171268442000</t>
  </si>
  <si>
    <t xml:space="preserve">010701076416508               </t>
  </si>
  <si>
    <t>3207111806960001</t>
  </si>
  <si>
    <t>3207111612190001</t>
  </si>
  <si>
    <t>199311282017121001</t>
  </si>
  <si>
    <t xml:space="preserve">ERIC DWI PRASETIYO                                                                                  </t>
  </si>
  <si>
    <t>840161574426000</t>
  </si>
  <si>
    <t xml:space="preserve">010701076398506               </t>
  </si>
  <si>
    <t>3274032811930007</t>
  </si>
  <si>
    <t>3274031901210011</t>
  </si>
  <si>
    <t>199902242017121003</t>
  </si>
  <si>
    <t xml:space="preserve">FAHRUL FATHURROHMAN                                                                                 </t>
  </si>
  <si>
    <t>840160592426000</t>
  </si>
  <si>
    <t xml:space="preserve">010701076427509               </t>
  </si>
  <si>
    <t>3274042402990002</t>
  </si>
  <si>
    <t>3274041105070525</t>
  </si>
  <si>
    <t>200011102022031001</t>
  </si>
  <si>
    <t xml:space="preserve">FARHAN NURJAMAN                                                                                     </t>
  </si>
  <si>
    <t>650148349438000</t>
  </si>
  <si>
    <t>010701137490500</t>
  </si>
  <si>
    <t>FARHAN NURJAMAN</t>
  </si>
  <si>
    <t>3208181011000002</t>
  </si>
  <si>
    <t>3208180902065427</t>
  </si>
  <si>
    <t>200002112024041002</t>
  </si>
  <si>
    <t>FEBRIAN YULIZAR</t>
  </si>
  <si>
    <t>854983087447000</t>
  </si>
  <si>
    <t>010701130114501</t>
  </si>
  <si>
    <t>3275081102000021</t>
  </si>
  <si>
    <t>3175052609250011</t>
  </si>
  <si>
    <t>200105072020121001</t>
  </si>
  <si>
    <t xml:space="preserve">FERDY IRAWAN                                                                                        </t>
  </si>
  <si>
    <t>969892249455000</t>
  </si>
  <si>
    <t xml:space="preserve">010701028606531               </t>
  </si>
  <si>
    <t>3209150705010008</t>
  </si>
  <si>
    <t>3209151105110010</t>
  </si>
  <si>
    <t>198905172009122002</t>
  </si>
  <si>
    <t xml:space="preserve">FURY HERYANI TRISNA UTAMI                                                                           </t>
  </si>
  <si>
    <t>895569283438000</t>
  </si>
  <si>
    <t xml:space="preserve">040601003731505               </t>
  </si>
  <si>
    <t>3C10</t>
  </si>
  <si>
    <t>3210185705890041</t>
  </si>
  <si>
    <t>3274010807130001</t>
  </si>
  <si>
    <t>199807202017121001</t>
  </si>
  <si>
    <t>GALANG RAMANGGA BIANGMARASIKMA</t>
  </si>
  <si>
    <t>818684979438000</t>
  </si>
  <si>
    <t>010701076396504</t>
  </si>
  <si>
    <t>3208132007980009</t>
  </si>
  <si>
    <t>3208181704250003</t>
  </si>
  <si>
    <t>199511012020121001</t>
  </si>
  <si>
    <t xml:space="preserve">GUNANTO                                                                                             </t>
  </si>
  <si>
    <t>703296301426000</t>
  </si>
  <si>
    <t xml:space="preserve">010701028612532               </t>
  </si>
  <si>
    <t>3209220304950007</t>
  </si>
  <si>
    <t>3209222502069608</t>
  </si>
  <si>
    <t>199903252022031003</t>
  </si>
  <si>
    <t>GUNTUR PRATAMA</t>
  </si>
  <si>
    <t>822219051421000</t>
  </si>
  <si>
    <t>010701137491506</t>
  </si>
  <si>
    <t>3217062503990011</t>
  </si>
  <si>
    <t>3274052407240002</t>
  </si>
  <si>
    <t>199101302010121004</t>
  </si>
  <si>
    <t xml:space="preserve">HADI SETIAWAN                                                                                       </t>
  </si>
  <si>
    <t>366262483437000</t>
  </si>
  <si>
    <t xml:space="preserve">010701011755535               </t>
  </si>
  <si>
    <t>2D15</t>
  </si>
  <si>
    <t>3212183001910002</t>
  </si>
  <si>
    <t>3212180106094021</t>
  </si>
  <si>
    <t>199004052010121002</t>
  </si>
  <si>
    <t xml:space="preserve">HAFID ARDIANSYAH                                                                                    </t>
  </si>
  <si>
    <t>697392439426000</t>
  </si>
  <si>
    <t xml:space="preserve">040601009484504               </t>
  </si>
  <si>
    <t>3274010504900006</t>
  </si>
  <si>
    <t>3274010906140010</t>
  </si>
  <si>
    <t>199012102017121002</t>
  </si>
  <si>
    <t xml:space="preserve">HARIS AZIS SUSILO                                                                                   </t>
  </si>
  <si>
    <t>840365464438000</t>
  </si>
  <si>
    <t xml:space="preserve">010701076428505               </t>
  </si>
  <si>
    <t>1001</t>
  </si>
  <si>
    <t>3210051012900081</t>
  </si>
  <si>
    <t>3210051111190004</t>
  </si>
  <si>
    <t>198105272006041001</t>
  </si>
  <si>
    <t xml:space="preserve">HENDRA HERMAWAN                                                                                     </t>
  </si>
  <si>
    <t>492655774426000</t>
  </si>
  <si>
    <t xml:space="preserve">010701049968500               </t>
  </si>
  <si>
    <t>3B14</t>
  </si>
  <si>
    <t>3274052705810006</t>
  </si>
  <si>
    <t>3274051801110011</t>
  </si>
  <si>
    <t>200104032024041001</t>
  </si>
  <si>
    <t xml:space="preserve">HERDIS KURNIA                                                                                       </t>
  </si>
  <si>
    <t>931330260442000</t>
  </si>
  <si>
    <t xml:space="preserve">010701130116503               </t>
  </si>
  <si>
    <t>3207090304010001</t>
  </si>
  <si>
    <t>3207090901180001</t>
  </si>
  <si>
    <t>199208272017121002</t>
  </si>
  <si>
    <t xml:space="preserve">HERIYANTO                                                                                           </t>
  </si>
  <si>
    <t>756298600425000</t>
  </si>
  <si>
    <t xml:space="preserve">010701076400507               </t>
  </si>
  <si>
    <t>3206276708920002</t>
  </si>
  <si>
    <t>3206381112180011</t>
  </si>
  <si>
    <t>200212202022041001</t>
  </si>
  <si>
    <t xml:space="preserve">HIKAM BASIL ZAHID                                                                                   </t>
  </si>
  <si>
    <t>654159623405000</t>
  </si>
  <si>
    <t>010701137501505</t>
  </si>
  <si>
    <t>HIKAM BASIL ZAHID</t>
  </si>
  <si>
    <t>3202272012020004</t>
  </si>
  <si>
    <t>3202272405100030</t>
  </si>
  <si>
    <t>200101052022031002</t>
  </si>
  <si>
    <t xml:space="preserve">HYKAL MUHAMMAD YANUAR                                                                               </t>
  </si>
  <si>
    <t>650100514442000</t>
  </si>
  <si>
    <t>010701137492502</t>
  </si>
  <si>
    <t>HYKAL MUHAMMAD YANUAR</t>
  </si>
  <si>
    <t>3209050501010005</t>
  </si>
  <si>
    <t>3207121610150001</t>
  </si>
  <si>
    <t>199705312017121002</t>
  </si>
  <si>
    <t xml:space="preserve">INDRA GUNAWAN                                                                                       </t>
  </si>
  <si>
    <t>733235998437000</t>
  </si>
  <si>
    <t xml:space="preserve">010701076409501               </t>
  </si>
  <si>
    <t>3212153105970003</t>
  </si>
  <si>
    <t>3212162510210002</t>
  </si>
  <si>
    <t>199410312017121002</t>
  </si>
  <si>
    <t xml:space="preserve">INDRA HERMAWAN                                                                                      </t>
  </si>
  <si>
    <t>840036107437000</t>
  </si>
  <si>
    <t xml:space="preserve">010701076415502               </t>
  </si>
  <si>
    <t>3212193110940001</t>
  </si>
  <si>
    <t>3212191705220004</t>
  </si>
  <si>
    <t>199703022017122001</t>
  </si>
  <si>
    <t xml:space="preserve">INEKE PUTRI AYUNDA                                                                                  </t>
  </si>
  <si>
    <t>839720349426000</t>
  </si>
  <si>
    <t xml:space="preserve">010701076390508               </t>
  </si>
  <si>
    <t>3209204203970007</t>
  </si>
  <si>
    <t>3209201008210001</t>
  </si>
  <si>
    <t>199401052017121002</t>
  </si>
  <si>
    <t xml:space="preserve">IRMAN NUR ISMAIL                                                                                    </t>
  </si>
  <si>
    <t>840303879444000</t>
  </si>
  <si>
    <t xml:space="preserve">010701076446503               </t>
  </si>
  <si>
    <t>3204330501940005</t>
  </si>
  <si>
    <t>3204332912200002</t>
  </si>
  <si>
    <t>199307022012121003</t>
  </si>
  <si>
    <t xml:space="preserve">JULIANTO                                                                                            </t>
  </si>
  <si>
    <t>548885466426000</t>
  </si>
  <si>
    <t xml:space="preserve">010701061064502               </t>
  </si>
  <si>
    <t>3B08</t>
  </si>
  <si>
    <t>3274050207930017</t>
  </si>
  <si>
    <t>3274051502190001</t>
  </si>
  <si>
    <t>198604172007031001</t>
  </si>
  <si>
    <t xml:space="preserve">KOSIM MUNAWAR                                                                                       </t>
  </si>
  <si>
    <t>492656376443000</t>
  </si>
  <si>
    <t xml:space="preserve">010701049976503               </t>
  </si>
  <si>
    <t>3274051704860008</t>
  </si>
  <si>
    <t>3274051509110002</t>
  </si>
  <si>
    <t>199802212017121003</t>
  </si>
  <si>
    <t>KRISTIANTORO</t>
  </si>
  <si>
    <t>758105068523000</t>
  </si>
  <si>
    <t>010701076412504</t>
  </si>
  <si>
    <t>3305102102980001</t>
  </si>
  <si>
    <t>3274050412250005</t>
  </si>
  <si>
    <t>198512122005011001</t>
  </si>
  <si>
    <t xml:space="preserve">KURNIAWAN                                                                                           </t>
  </si>
  <si>
    <t>483451852305000</t>
  </si>
  <si>
    <t xml:space="preserve">013101000381534               </t>
  </si>
  <si>
    <t>3C16</t>
  </si>
  <si>
    <t>1901011212850002</t>
  </si>
  <si>
    <t>1901011312160013</t>
  </si>
  <si>
    <t>198703012007031001</t>
  </si>
  <si>
    <t xml:space="preserve">MAMAN KUSMANA                                                                                       </t>
  </si>
  <si>
    <t>492655923438000</t>
  </si>
  <si>
    <t xml:space="preserve">010701050009501               </t>
  </si>
  <si>
    <t>3208210103870001</t>
  </si>
  <si>
    <t>3208210107130007</t>
  </si>
  <si>
    <t>199107242010121003</t>
  </si>
  <si>
    <t xml:space="preserve">MANTO                                                                                               </t>
  </si>
  <si>
    <t>362543605426000</t>
  </si>
  <si>
    <t xml:space="preserve">010701053706500               </t>
  </si>
  <si>
    <t>3209182407910006</t>
  </si>
  <si>
    <t>3209180812140006</t>
  </si>
  <si>
    <t>197903182007031002</t>
  </si>
  <si>
    <t xml:space="preserve">MARIO GUNAWAN                                                                                       </t>
  </si>
  <si>
    <t>492655733438000</t>
  </si>
  <si>
    <t xml:space="preserve">010701050012504               </t>
  </si>
  <si>
    <t>3208081803790005</t>
  </si>
  <si>
    <t>3208313006080021</t>
  </si>
  <si>
    <t>199804192017121002</t>
  </si>
  <si>
    <t xml:space="preserve">MAULANA HIDAYAT ATMAJA                                                                              </t>
  </si>
  <si>
    <t>836228429439000</t>
  </si>
  <si>
    <t xml:space="preserve">010701076410502               </t>
  </si>
  <si>
    <t>3213141904980002</t>
  </si>
  <si>
    <t>3213142105120007</t>
  </si>
  <si>
    <t>198905132008012001</t>
  </si>
  <si>
    <t xml:space="preserve">MEYSA PRATIWI                                                                                       </t>
  </si>
  <si>
    <t xml:space="preserve">892552514406000 </t>
  </si>
  <si>
    <t xml:space="preserve">010501041173501               </t>
  </si>
  <si>
    <t>3203015305890014</t>
  </si>
  <si>
    <t>3209362302210004</t>
  </si>
  <si>
    <t>199804072017121002</t>
  </si>
  <si>
    <t xml:space="preserve">MOCH IQBAL HIDAYATULLAH                                                                             </t>
  </si>
  <si>
    <t>804036432406000</t>
  </si>
  <si>
    <t xml:space="preserve">010701076413500               </t>
  </si>
  <si>
    <t>3203060704980013</t>
  </si>
  <si>
    <t>3203062001120010</t>
  </si>
  <si>
    <t>199201242017121001</t>
  </si>
  <si>
    <t xml:space="preserve">MOCHAMAD RIZKI TRIANSYAH BUKHORI                                                                    </t>
  </si>
  <si>
    <t>834680241429000</t>
  </si>
  <si>
    <t xml:space="preserve">010701076403505               </t>
  </si>
  <si>
    <t>3273282401920002</t>
  </si>
  <si>
    <t>3272072409180006</t>
  </si>
  <si>
    <t>200101112022031003</t>
  </si>
  <si>
    <t>MOCHAMAD THESAR RUDIYANA</t>
  </si>
  <si>
    <t>650018310437000</t>
  </si>
  <si>
    <t>010701137493508</t>
  </si>
  <si>
    <t>3212151101010001</t>
  </si>
  <si>
    <t>3212150611250005</t>
  </si>
  <si>
    <t>199407032020121001</t>
  </si>
  <si>
    <t xml:space="preserve">MOH TRIYA SONJAYA ARIFIN                                                                            </t>
  </si>
  <si>
    <t>765479373426000</t>
  </si>
  <si>
    <t xml:space="preserve">010701028607537               </t>
  </si>
  <si>
    <t>3209270307940001</t>
  </si>
  <si>
    <t>3209400211220001</t>
  </si>
  <si>
    <t>199809102022031013</t>
  </si>
  <si>
    <t xml:space="preserve">MOHAMMAD FAJAR INSAN ABDILLAH                                                                       </t>
  </si>
  <si>
    <t>862508249421000</t>
  </si>
  <si>
    <t>010701137502501</t>
  </si>
  <si>
    <t>M FAJAR INSAN ABDILLAH</t>
  </si>
  <si>
    <t>3217061009980005</t>
  </si>
  <si>
    <t>3217062212050140</t>
  </si>
  <si>
    <t>199802212025061004</t>
  </si>
  <si>
    <t>MUHAMAD FARHAN AZIZ</t>
  </si>
  <si>
    <t>3204102102980005</t>
  </si>
  <si>
    <t>010701142329508</t>
  </si>
  <si>
    <t>3204102004050506</t>
  </si>
  <si>
    <t>197211201998031001</t>
  </si>
  <si>
    <t>Muhamad Sofyan, A.KS</t>
  </si>
  <si>
    <t xml:space="preserve">079508164426000 </t>
  </si>
  <si>
    <t>010701081839505</t>
  </si>
  <si>
    <t>MUHAMAD SOFYAN AKS</t>
  </si>
  <si>
    <t>3D26</t>
  </si>
  <si>
    <t>3209362011720001</t>
  </si>
  <si>
    <t>3209361103110005</t>
  </si>
  <si>
    <t>200203192022031002</t>
  </si>
  <si>
    <t xml:space="preserve">MUHAMMAD DIFA DHAIFULLAH                                                                            </t>
  </si>
  <si>
    <t>650975147446000</t>
  </si>
  <si>
    <t>010701137494504</t>
  </si>
  <si>
    <t>MUHAMMAD DIFA DHAIFULLAH</t>
  </si>
  <si>
    <t>3211201903020006</t>
  </si>
  <si>
    <t>3211202409070001</t>
  </si>
  <si>
    <t>199805062022031006</t>
  </si>
  <si>
    <t xml:space="preserve">MUHAMMAD NUR ARDIANSYAH                                                                             </t>
  </si>
  <si>
    <t>650798705426000</t>
  </si>
  <si>
    <t>010701137495500</t>
  </si>
  <si>
    <t>MUHAMMAD NUR ARDIANSYAH</t>
  </si>
  <si>
    <t>3274030605980006</t>
  </si>
  <si>
    <t>3274032808090018</t>
  </si>
  <si>
    <t>199908132022031008</t>
  </si>
  <si>
    <t xml:space="preserve">MUHAMMAD REZA FAHLEPI TOYIB                                                                         </t>
  </si>
  <si>
    <t>650148117421000</t>
  </si>
  <si>
    <t>010701137496506</t>
  </si>
  <si>
    <t>MUHAMMAD REZA FAHLEPI TOYIB</t>
  </si>
  <si>
    <t>3273071308990004</t>
  </si>
  <si>
    <t>3273071708101778</t>
  </si>
  <si>
    <t>199706302017121007</t>
  </si>
  <si>
    <t xml:space="preserve">MUHAMMAD RIFA  PRIANTAMA                                                                            </t>
  </si>
  <si>
    <t>734704752426000</t>
  </si>
  <si>
    <t xml:space="preserve">135001002150502               </t>
  </si>
  <si>
    <t>3209063006970001</t>
  </si>
  <si>
    <t>3209061608230002</t>
  </si>
  <si>
    <t>199306272017121002</t>
  </si>
  <si>
    <t xml:space="preserve">MUHAMMAD SANATO                                                                                     </t>
  </si>
  <si>
    <t>840199368426000</t>
  </si>
  <si>
    <t xml:space="preserve">010701076406503               </t>
  </si>
  <si>
    <t>3209392706930002</t>
  </si>
  <si>
    <t>3209250706160004</t>
  </si>
  <si>
    <t>199501112017121004</t>
  </si>
  <si>
    <t xml:space="preserve">MUHAMMAD SHOFI                                                                                      </t>
  </si>
  <si>
    <t>840117493437000</t>
  </si>
  <si>
    <t xml:space="preserve">010701076389507               </t>
  </si>
  <si>
    <t>3212101101950002</t>
  </si>
  <si>
    <t>3212102812210004</t>
  </si>
  <si>
    <t>199306302017121005</t>
  </si>
  <si>
    <t xml:space="preserve">MUHARROM FAKHRURROZI                                                                                </t>
  </si>
  <si>
    <t>724177886446000</t>
  </si>
  <si>
    <t xml:space="preserve">010701076378506               </t>
  </si>
  <si>
    <t>3211073006930002</t>
  </si>
  <si>
    <t>3211073001190003</t>
  </si>
  <si>
    <t>197304241999032002</t>
  </si>
  <si>
    <t xml:space="preserve">MUNAWAROH, S.Kep.                                                                                   </t>
  </si>
  <si>
    <t xml:space="preserve">Perawat Muda (Sarjana)                                                                                                                                                                                  </t>
  </si>
  <si>
    <t>492656269426000</t>
  </si>
  <si>
    <t xml:space="preserve">131801000884503               </t>
  </si>
  <si>
    <t>3D24</t>
  </si>
  <si>
    <t>05509</t>
  </si>
  <si>
    <t>3274056404730004</t>
  </si>
  <si>
    <t>3274052408100002</t>
  </si>
  <si>
    <t>198305312007031001</t>
  </si>
  <si>
    <t xml:space="preserve">NANANG KOSIM                                                                                        </t>
  </si>
  <si>
    <t>683068415015000</t>
  </si>
  <si>
    <t xml:space="preserve">321801009371537               </t>
  </si>
  <si>
    <t>3B13</t>
  </si>
  <si>
    <t>3174013105830003</t>
  </si>
  <si>
    <t>3209012211170002</t>
  </si>
  <si>
    <t>197002071998031001</t>
  </si>
  <si>
    <t xml:space="preserve">NANDANG RUCHYAT,S.sos                                                                               </t>
  </si>
  <si>
    <t>143737039442000</t>
  </si>
  <si>
    <t xml:space="preserve">010401024972506               </t>
  </si>
  <si>
    <t xml:space="preserve">NANDANG RUCHYAT,S.SOS                                                                               </t>
  </si>
  <si>
    <t>3207010702700001</t>
  </si>
  <si>
    <t>3207012009070224</t>
  </si>
  <si>
    <t>200203102022032001</t>
  </si>
  <si>
    <t xml:space="preserve">NOVI IIN INDRIANI                                                                                   </t>
  </si>
  <si>
    <t>650133069455000</t>
  </si>
  <si>
    <t>010701137497502</t>
  </si>
  <si>
    <t>NOVI IIN INDRIANI</t>
  </si>
  <si>
    <t>3209315003020002</t>
  </si>
  <si>
    <t>3209312010100002</t>
  </si>
  <si>
    <t>199602242017122001</t>
  </si>
  <si>
    <t xml:space="preserve">NURSANDI                                                                                            </t>
  </si>
  <si>
    <t>700789209426000</t>
  </si>
  <si>
    <t xml:space="preserve">412601001544504               </t>
  </si>
  <si>
    <t>3209216402960004</t>
  </si>
  <si>
    <t>3209142903230003</t>
  </si>
  <si>
    <t>199807042017121004</t>
  </si>
  <si>
    <t xml:space="preserve">OKKY TRIANDANI                                                                                      </t>
  </si>
  <si>
    <t>840256291438000</t>
  </si>
  <si>
    <t xml:space="preserve">010701076384507               </t>
  </si>
  <si>
    <t>3208040407980005</t>
  </si>
  <si>
    <t>3208043004070014</t>
  </si>
  <si>
    <t>200006092022031001</t>
  </si>
  <si>
    <t>OPA IAN SAPUTRA</t>
  </si>
  <si>
    <t>650138431455000</t>
  </si>
  <si>
    <t>010701137498508</t>
  </si>
  <si>
    <t>3209340906010001</t>
  </si>
  <si>
    <t>3208141610250001</t>
  </si>
  <si>
    <t>199011152017121005</t>
  </si>
  <si>
    <t xml:space="preserve">PRATOMO AJIWIBOWO                                                                                   </t>
  </si>
  <si>
    <t>718899263426000</t>
  </si>
  <si>
    <t xml:space="preserve">010701076411508               </t>
  </si>
  <si>
    <t>3274051511900006</t>
  </si>
  <si>
    <t>3274052405160004</t>
  </si>
  <si>
    <t>198008242000031001</t>
  </si>
  <si>
    <t xml:space="preserve">PUNGKAS WIJI SANTOSO                                                                                </t>
  </si>
  <si>
    <t>579615923426000</t>
  </si>
  <si>
    <t xml:space="preserve">010701049993505               </t>
  </si>
  <si>
    <t>3274052408800009</t>
  </si>
  <si>
    <t>3274052905070077</t>
  </si>
  <si>
    <t>199201202017121007</t>
  </si>
  <si>
    <t xml:space="preserve">RACHMAN SALEH                                                                                       </t>
  </si>
  <si>
    <t>667241277442000</t>
  </si>
  <si>
    <t xml:space="preserve">010701076482509               </t>
  </si>
  <si>
    <t>3207012001920004</t>
  </si>
  <si>
    <t>3207011203200003</t>
  </si>
  <si>
    <t>200201072022031005</t>
  </si>
  <si>
    <t xml:space="preserve">RADITYA PRATAMA                                                                                     </t>
  </si>
  <si>
    <t>650404619421000</t>
  </si>
  <si>
    <t>010701137499504</t>
  </si>
  <si>
    <t>RADITYA PRATAMA</t>
  </si>
  <si>
    <t>3217070701020008</t>
  </si>
  <si>
    <t>3217070701210001</t>
  </si>
  <si>
    <t>200202092022031002</t>
  </si>
  <si>
    <t xml:space="preserve">RAHMAT AFIF FEBRIAN                                                                                 </t>
  </si>
  <si>
    <t>650034531423000</t>
  </si>
  <si>
    <t>010701137500509</t>
  </si>
  <si>
    <t>RAHMAT AFIF FEBRIAN</t>
  </si>
  <si>
    <t>1705020902020001</t>
  </si>
  <si>
    <t>1705020205081443</t>
  </si>
  <si>
    <t>199608152017121001</t>
  </si>
  <si>
    <t xml:space="preserve">RENO YUDHA TAMA                                                                                     </t>
  </si>
  <si>
    <t>840159800426000</t>
  </si>
  <si>
    <t xml:space="preserve">010701076480507               </t>
  </si>
  <si>
    <t>3209311508960004</t>
  </si>
  <si>
    <t>3209190304180005</t>
  </si>
  <si>
    <t>198905032010121005</t>
  </si>
  <si>
    <t xml:space="preserve">RESTU PERMADI ABDULAH,A.Md.Kep                                                                      </t>
  </si>
  <si>
    <t>362615403437000</t>
  </si>
  <si>
    <t xml:space="preserve">010701053707506               </t>
  </si>
  <si>
    <t>3D12</t>
  </si>
  <si>
    <t>3214090305890001</t>
  </si>
  <si>
    <t>3214093101120004</t>
  </si>
  <si>
    <t>200006072020121001</t>
  </si>
  <si>
    <t xml:space="preserve">REYNALDI WIJAYA                                                                                     </t>
  </si>
  <si>
    <t>969930015455000</t>
  </si>
  <si>
    <t xml:space="preserve">010701088261509               </t>
  </si>
  <si>
    <t>3209190604000003</t>
  </si>
  <si>
    <t>3209190710070365</t>
  </si>
  <si>
    <t>199601162017121001</t>
  </si>
  <si>
    <t xml:space="preserve">RIZKI ADIANTO                                                                                       </t>
  </si>
  <si>
    <t>840032973426000</t>
  </si>
  <si>
    <t xml:space="preserve">010701076436508               </t>
  </si>
  <si>
    <t>3209141601960001</t>
  </si>
  <si>
    <t>3209140109090015</t>
  </si>
  <si>
    <t>196803071991021001</t>
  </si>
  <si>
    <t xml:space="preserve">ROCHMAD SEDIJONO                                                                                    </t>
  </si>
  <si>
    <t>269815270426000</t>
  </si>
  <si>
    <t xml:space="preserve">010701049974501               </t>
  </si>
  <si>
    <t>3D32</t>
  </si>
  <si>
    <t>3274050703680007</t>
  </si>
  <si>
    <t>3274052905070087</t>
  </si>
  <si>
    <t>198306292010121002</t>
  </si>
  <si>
    <t xml:space="preserve">RUSMAYA                                                                                             </t>
  </si>
  <si>
    <t>362541955426000</t>
  </si>
  <si>
    <t xml:space="preserve">010701053704508               </t>
  </si>
  <si>
    <t>3209202906830001</t>
  </si>
  <si>
    <t>3209141104160002</t>
  </si>
  <si>
    <t>197003021991031002</t>
  </si>
  <si>
    <t xml:space="preserve">S U N O T O, SH                                                                                     </t>
  </si>
  <si>
    <t>441647989439000</t>
  </si>
  <si>
    <t xml:space="preserve">012301031517501               </t>
  </si>
  <si>
    <t>3213030203700015</t>
  </si>
  <si>
    <t>3213031010080001</t>
  </si>
  <si>
    <t>200012192020121002</t>
  </si>
  <si>
    <t xml:space="preserve">SAEFUL MUHID                                                                                        </t>
  </si>
  <si>
    <t>969918432455000</t>
  </si>
  <si>
    <t xml:space="preserve">414101036814530               </t>
  </si>
  <si>
    <t>3209381912000001</t>
  </si>
  <si>
    <t>3209380209090006</t>
  </si>
  <si>
    <t>200402192025062001</t>
  </si>
  <si>
    <t>SALMA NAILA ZAHRA</t>
  </si>
  <si>
    <t>3203025902040003</t>
  </si>
  <si>
    <t>010701142324508</t>
  </si>
  <si>
    <t>3203021507190007</t>
  </si>
  <si>
    <t>198910182009122001</t>
  </si>
  <si>
    <t xml:space="preserve">SITI NURHASANAH                                                                                     </t>
  </si>
  <si>
    <t>898679881221000</t>
  </si>
  <si>
    <t xml:space="preserve">017001005225537               </t>
  </si>
  <si>
    <t>1401165810890002</t>
  </si>
  <si>
    <t>1401160307120005</t>
  </si>
  <si>
    <t>197501231994032001</t>
  </si>
  <si>
    <t xml:space="preserve">SRI HATI                                                                                            </t>
  </si>
  <si>
    <t>492656335426000</t>
  </si>
  <si>
    <t xml:space="preserve">010701049938505               </t>
  </si>
  <si>
    <t>3B26</t>
  </si>
  <si>
    <t>3209396301750004</t>
  </si>
  <si>
    <t>3209392704100023</t>
  </si>
  <si>
    <t>198112282007031001</t>
  </si>
  <si>
    <t xml:space="preserve">SUDARSA                                                                                             </t>
  </si>
  <si>
    <t>492655691438000</t>
  </si>
  <si>
    <t xml:space="preserve">010701050011508               </t>
  </si>
  <si>
    <t>3208182812810004</t>
  </si>
  <si>
    <t>3208181607090003</t>
  </si>
  <si>
    <t>196808281992031001</t>
  </si>
  <si>
    <t xml:space="preserve">SUGIARTO                                                                                            </t>
  </si>
  <si>
    <t>345275317426000</t>
  </si>
  <si>
    <t xml:space="preserve">010701050327501               </t>
  </si>
  <si>
    <t>3B28</t>
  </si>
  <si>
    <t>3209222808680004</t>
  </si>
  <si>
    <t>3274050206100019</t>
  </si>
  <si>
    <t>197607102000031001</t>
  </si>
  <si>
    <t xml:space="preserve">SUKARYA                                                                                             </t>
  </si>
  <si>
    <t>342998101437000</t>
  </si>
  <si>
    <t xml:space="preserve">131801000889503               </t>
  </si>
  <si>
    <t>3274051007760016</t>
  </si>
  <si>
    <t>3274050902120019</t>
  </si>
  <si>
    <t>197708092000031001</t>
  </si>
  <si>
    <t xml:space="preserve">SURNOTO,SH                                                                                          </t>
  </si>
  <si>
    <t>094086162426000</t>
  </si>
  <si>
    <t xml:space="preserve">131801000888507               </t>
  </si>
  <si>
    <t>3209400908770003</t>
  </si>
  <si>
    <t>3209402911100013</t>
  </si>
  <si>
    <t>197310231993031001</t>
  </si>
  <si>
    <t xml:space="preserve">Suryanto,SH,MH                                                                                      </t>
  </si>
  <si>
    <t>094076031438000</t>
  </si>
  <si>
    <t xml:space="preserve">013301026089508               </t>
  </si>
  <si>
    <t xml:space="preserve">SURYANTO SH                                                                                         </t>
  </si>
  <si>
    <t>4A26</t>
  </si>
  <si>
    <t>3208182310730003</t>
  </si>
  <si>
    <t>3208180702061258</t>
  </si>
  <si>
    <t>196810131992031001</t>
  </si>
  <si>
    <t xml:space="preserve">SUTITNO, SH                                                                                         </t>
  </si>
  <si>
    <t>492656186426000</t>
  </si>
  <si>
    <t xml:space="preserve">010701049949506               </t>
  </si>
  <si>
    <t>3D28</t>
  </si>
  <si>
    <t>3209401310680001</t>
  </si>
  <si>
    <t>3209400610070140</t>
  </si>
  <si>
    <t>199009192017121002</t>
  </si>
  <si>
    <t xml:space="preserve">SUTRISNO                                                                                            </t>
  </si>
  <si>
    <t>840990907426000</t>
  </si>
  <si>
    <t xml:space="preserve">002801076557500               </t>
  </si>
  <si>
    <t>3209181909900003</t>
  </si>
  <si>
    <t>3209361811200002</t>
  </si>
  <si>
    <t>196903141991031001</t>
  </si>
  <si>
    <t>490984358426000</t>
  </si>
  <si>
    <t>010701137485505</t>
  </si>
  <si>
    <t>TATA</t>
  </si>
  <si>
    <t>3209391403690002</t>
  </si>
  <si>
    <t>3209391406080048</t>
  </si>
  <si>
    <t>198103122007031001</t>
  </si>
  <si>
    <t xml:space="preserve">TAUFIK GUNAWAN                                                                                      </t>
  </si>
  <si>
    <t>492655907421000</t>
  </si>
  <si>
    <t xml:space="preserve">010701050007509               </t>
  </si>
  <si>
    <t>3274051203810014</t>
  </si>
  <si>
    <t>3274051102110002</t>
  </si>
  <si>
    <t>199807092017121004</t>
  </si>
  <si>
    <t xml:space="preserve">TEJA WIJAYA                                                                                         </t>
  </si>
  <si>
    <t>835624917426000</t>
  </si>
  <si>
    <t xml:space="preserve">010701076395508               </t>
  </si>
  <si>
    <t>3209170907980003</t>
  </si>
  <si>
    <t>3209171511210001</t>
  </si>
  <si>
    <t>199208282017121003</t>
  </si>
  <si>
    <t xml:space="preserve">TRIBOWO ARIF SETIAWAN                                                                               </t>
  </si>
  <si>
    <t>766393672421000</t>
  </si>
  <si>
    <t xml:space="preserve">010701076405507               </t>
  </si>
  <si>
    <t>3217062808920016</t>
  </si>
  <si>
    <t>3217062304190014</t>
  </si>
  <si>
    <t>197008311992032001</t>
  </si>
  <si>
    <t xml:space="preserve">TUTI ROBIAWATI, SH                                                                                  </t>
  </si>
  <si>
    <t>690471958426000</t>
  </si>
  <si>
    <t xml:space="preserve">010701049750509               </t>
  </si>
  <si>
    <t xml:space="preserve">TUTI ROBIAWATI                                                                                      </t>
  </si>
  <si>
    <t>3209357108700001</t>
  </si>
  <si>
    <t>3209353003120005</t>
  </si>
  <si>
    <t>199103232017121001</t>
  </si>
  <si>
    <t xml:space="preserve">WASTONO                                                                                             </t>
  </si>
  <si>
    <t>704933324437000</t>
  </si>
  <si>
    <t xml:space="preserve">010701076380503               </t>
  </si>
  <si>
    <t>3212102303910001</t>
  </si>
  <si>
    <t>3212100804190001</t>
  </si>
  <si>
    <t>200504252025061004</t>
  </si>
  <si>
    <t>WILDAN ADI NUGRAHA</t>
  </si>
  <si>
    <t>3211112504050004</t>
  </si>
  <si>
    <t>010701142322506</t>
  </si>
  <si>
    <t>3211112912100013</t>
  </si>
  <si>
    <t>199106042017121002</t>
  </si>
  <si>
    <t xml:space="preserve">WILYAM WIJAYANTO                                                                                    </t>
  </si>
  <si>
    <t>840304711444000</t>
  </si>
  <si>
    <t xml:space="preserve">010701076425507               </t>
  </si>
  <si>
    <t>3204290406910013</t>
  </si>
  <si>
    <t>3204332609190004</t>
  </si>
  <si>
    <t>198411052003122001</t>
  </si>
  <si>
    <t xml:space="preserve">WULANDARY PRATIWI ILHAM,SH                                                                          </t>
  </si>
  <si>
    <t>789260080426000</t>
  </si>
  <si>
    <t xml:space="preserve">414701000190506               </t>
  </si>
  <si>
    <t xml:space="preserve">WULANDARY PRATIWI ILHAM                                                                             </t>
  </si>
  <si>
    <t>3209264511840008</t>
  </si>
  <si>
    <t>3209203105170001</t>
  </si>
  <si>
    <t>199401172017121002</t>
  </si>
  <si>
    <t xml:space="preserve">Yan Caesar Setyaputra                                                                               </t>
  </si>
  <si>
    <t>746221001426000</t>
  </si>
  <si>
    <t xml:space="preserve">107801037680500               </t>
  </si>
  <si>
    <t>3209151701940005</t>
  </si>
  <si>
    <t>3209151010190010</t>
  </si>
  <si>
    <t>199405152017121002</t>
  </si>
  <si>
    <t xml:space="preserve">YANDI NURYANUDIN                                                                                    </t>
  </si>
  <si>
    <t>709969331438000</t>
  </si>
  <si>
    <t xml:space="preserve">010701076408505               </t>
  </si>
  <si>
    <t>3210021505940041</t>
  </si>
  <si>
    <t>3210021709200004</t>
  </si>
  <si>
    <t>199110312017121003</t>
  </si>
  <si>
    <t xml:space="preserve">YOGA SUKMA KUSMANA                                                                                  </t>
  </si>
  <si>
    <t>839736394425000</t>
  </si>
  <si>
    <t xml:space="preserve">010701076393506               </t>
  </si>
  <si>
    <t>3278043110910006</t>
  </si>
  <si>
    <t>3278042210200013</t>
  </si>
  <si>
    <t>198005162007031001</t>
  </si>
  <si>
    <t xml:space="preserve">YOPIE FAHAMSYAH                                                                                     </t>
  </si>
  <si>
    <t>492656418426000</t>
  </si>
  <si>
    <t xml:space="preserve">131801000894508               </t>
  </si>
  <si>
    <t>3209361605800002</t>
  </si>
  <si>
    <t>3209191706160002</t>
  </si>
  <si>
    <t>198112122007031001</t>
  </si>
  <si>
    <t xml:space="preserve">YUDHA SUSANO                                                                                        </t>
  </si>
  <si>
    <t>492656392426000</t>
  </si>
  <si>
    <t xml:space="preserve">010701049975507               </t>
  </si>
  <si>
    <t>3209401212810002</t>
  </si>
  <si>
    <t>3209400604100014</t>
  </si>
  <si>
    <t>196707171993031001</t>
  </si>
  <si>
    <t xml:space="preserve">DRS. ERLAN KARTASASMITA, M.P.S.Sp                                                                   </t>
  </si>
  <si>
    <t>681674578429000</t>
  </si>
  <si>
    <t xml:space="preserve">035401048781506               </t>
  </si>
  <si>
    <t xml:space="preserve">DRS. ERLAN KARTASASMITA                                                                             </t>
  </si>
  <si>
    <t>03</t>
  </si>
  <si>
    <t>4B32</t>
  </si>
  <si>
    <t>3273261707670001</t>
  </si>
  <si>
    <t>3273261010100719</t>
  </si>
  <si>
    <t>196706011992031002</t>
  </si>
  <si>
    <t xml:space="preserve">MOKHAMAD TURYA SUSILANTO, A.KS                                                                      </t>
  </si>
  <si>
    <t>499029320437000</t>
  </si>
  <si>
    <t xml:space="preserve">003501030691509               </t>
  </si>
  <si>
    <t xml:space="preserve">M. TURYA SUSILANTO, Aks                                                                             </t>
  </si>
  <si>
    <t>4A31</t>
  </si>
  <si>
    <t>3212130106670001</t>
  </si>
  <si>
    <t>3310160709160001</t>
  </si>
  <si>
    <t>196711101991031001</t>
  </si>
  <si>
    <t xml:space="preserve">SARI KANDUT                                                                                         </t>
  </si>
  <si>
    <t>579615949426000</t>
  </si>
  <si>
    <t xml:space="preserve">010701049928500               </t>
  </si>
  <si>
    <t>3C29</t>
  </si>
  <si>
    <t>3209211011670013</t>
  </si>
  <si>
    <t>3209211011090011</t>
  </si>
  <si>
    <t>198011052007031001</t>
  </si>
  <si>
    <t xml:space="preserve">ADI PRAYITNO                                                                                        </t>
  </si>
  <si>
    <t>492655675426000</t>
  </si>
  <si>
    <t xml:space="preserve">010701049969506               </t>
  </si>
  <si>
    <t>05</t>
  </si>
  <si>
    <t>3209210511800010</t>
  </si>
  <si>
    <t>3209211511110017</t>
  </si>
  <si>
    <t>198001292000121002</t>
  </si>
  <si>
    <t xml:space="preserve">ERIES SUGIANTO,AMd.IP, SH                                                                           </t>
  </si>
  <si>
    <t xml:space="preserve">Eselon III A                                                                                                                                                                                            </t>
  </si>
  <si>
    <t>498901560002000</t>
  </si>
  <si>
    <t xml:space="preserve">004901001071561               </t>
  </si>
  <si>
    <t xml:space="preserve">ERIES SUGIANTO                                                                                      </t>
  </si>
  <si>
    <t>4A20</t>
  </si>
  <si>
    <t>00131</t>
  </si>
  <si>
    <t>3275092901800011</t>
  </si>
  <si>
    <t>3520092507190003</t>
  </si>
  <si>
    <t>197912302007031002</t>
  </si>
  <si>
    <t xml:space="preserve">GATOT SANTOSA                                                                                       </t>
  </si>
  <si>
    <t>492655659438000</t>
  </si>
  <si>
    <t xml:space="preserve">131801000879508               </t>
  </si>
  <si>
    <t>3208093012790017</t>
  </si>
  <si>
    <t>3208092302110004</t>
  </si>
  <si>
    <t>198508092005011002</t>
  </si>
  <si>
    <t xml:space="preserve">I W BONDAN WAHYU KUSUMA DUSAK                                                                       </t>
  </si>
  <si>
    <t>586487423403000</t>
  </si>
  <si>
    <t xml:space="preserve">002501125322509               </t>
  </si>
  <si>
    <t>3D14</t>
  </si>
  <si>
    <t>3201010908850005</t>
  </si>
  <si>
    <t>3201012301170011</t>
  </si>
  <si>
    <t>197701102000031001</t>
  </si>
  <si>
    <t xml:space="preserve">JOKO PRAYITNO, SH                                                                                   </t>
  </si>
  <si>
    <t>094086188426000</t>
  </si>
  <si>
    <t xml:space="preserve">010701049948500               </t>
  </si>
  <si>
    <t xml:space="preserve">JOKO PRAYITNO                                                                                       </t>
  </si>
  <si>
    <t>3D18</t>
  </si>
  <si>
    <t>3274051001770005</t>
  </si>
  <si>
    <t>3274052905070110</t>
  </si>
  <si>
    <t>199703182017121002</t>
  </si>
  <si>
    <t xml:space="preserve">MOCHAMMAD SOLEHUDIN                                                                                 </t>
  </si>
  <si>
    <t>801976812437000</t>
  </si>
  <si>
    <t xml:space="preserve">010701076386509               </t>
  </si>
  <si>
    <t>3212201803970001</t>
  </si>
  <si>
    <t>3212022904240005</t>
  </si>
  <si>
    <t>197507311998031002</t>
  </si>
  <si>
    <t xml:space="preserve">RINO SOLEH SUMITRO                                                                                  </t>
  </si>
  <si>
    <t>579048737416000</t>
  </si>
  <si>
    <t xml:space="preserve">149401002332508               </t>
  </si>
  <si>
    <t>4A24</t>
  </si>
  <si>
    <t>3671053107750003</t>
  </si>
  <si>
    <t>3671050601100084</t>
  </si>
  <si>
    <t>198908012008011002</t>
  </si>
  <si>
    <t>RIO ADITYA SANDI, AMD.IP</t>
  </si>
  <si>
    <t>348162215412000</t>
  </si>
  <si>
    <t>005201058247508</t>
  </si>
  <si>
    <t>RIO ADITYA SANDI</t>
  </si>
  <si>
    <t>3276040108890005</t>
  </si>
  <si>
    <t>3276042302150002</t>
  </si>
  <si>
    <t>199810092022011001</t>
  </si>
  <si>
    <t xml:space="preserve">RISYAL HARDIYANTO HIDAYAT, S.Tr.Pas                                                                 </t>
  </si>
  <si>
    <t>537872228455000</t>
  </si>
  <si>
    <t xml:space="preserve">040601039771507               </t>
  </si>
  <si>
    <t xml:space="preserve">RISYAL HARDIYANTO HIDAYAT                                                                           </t>
  </si>
  <si>
    <t>3A02</t>
  </si>
  <si>
    <t>3209120910980003</t>
  </si>
  <si>
    <t>3209121009071238</t>
  </si>
  <si>
    <t>198005232000121001</t>
  </si>
  <si>
    <t>ROMMY WASKITA PAMBUDI,AMd.IP SH, MH</t>
  </si>
  <si>
    <t>499642270721000</t>
  </si>
  <si>
    <t>012101059054505</t>
  </si>
  <si>
    <t>ROMMY WASKITA PAMBUDI</t>
  </si>
  <si>
    <t>6471052305800006</t>
  </si>
  <si>
    <t>6309040811170009</t>
  </si>
  <si>
    <t>196801081993031002</t>
  </si>
  <si>
    <t>YAN RUSMANTO,Bc.IP, S.Sos. M.Si</t>
  </si>
  <si>
    <t>IV/c</t>
  </si>
  <si>
    <t>Pembina Utama Muda</t>
  </si>
  <si>
    <t>473282077002000</t>
  </si>
  <si>
    <t>525451000990</t>
  </si>
  <si>
    <t>BANK SYARIAH INDONESIA</t>
  </si>
  <si>
    <t>7222938408</t>
  </si>
  <si>
    <t>YAN RUSMANTO</t>
  </si>
  <si>
    <t>4C30</t>
  </si>
  <si>
    <t>3304052504067012</t>
  </si>
  <si>
    <t>3304050801680004</t>
  </si>
  <si>
    <t>status perkawinan</t>
  </si>
  <si>
    <t>jumlah anak</t>
  </si>
  <si>
    <t>ptkp</t>
  </si>
  <si>
    <t xml:space="preserve">TATA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</si>
</sst>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1" fillId="0" borderId="0" xfId="0" quotePrefix="1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4"/>
  <sheetViews>
    <sheetView tabSelected="1" topLeftCell="A127" workbookViewId="0">
      <selection activeCell="L138" sqref="L138"/>
    </sheetView>
  </sheetViews>
  <sheetFormatPr defaultRowHeight="15.75" x14ac:dyDescent="0.25"/>
  <cols>
    <col min="6" max="6" width="18.625" customWidth="1"/>
    <col min="7" max="10" width="9" style="3" hidden="1" customWidth="1"/>
    <col min="11" max="11" width="9" customWidth="1"/>
    <col min="12" max="12" width="17.375" customWidth="1"/>
    <col min="13" max="13" width="18.25" customWidth="1"/>
    <col min="14" max="16" width="9" customWidth="1"/>
    <col min="17" max="17" width="12.5" style="3" customWidth="1"/>
    <col min="18" max="33" width="9" customWidth="1"/>
    <col min="34" max="34" width="17.875" style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1019</v>
      </c>
      <c r="I1" s="3" t="s">
        <v>1020</v>
      </c>
      <c r="J1" s="3" t="s">
        <v>1021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s="3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s="1" t="s">
        <v>30</v>
      </c>
      <c r="AI1" t="s">
        <v>31</v>
      </c>
    </row>
    <row r="2" spans="1:35" x14ac:dyDescent="0.25">
      <c r="A2" t="s">
        <v>32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s="3" t="s">
        <v>37</v>
      </c>
      <c r="H2" s="3" t="str">
        <f>IF(LEFT(U2,2)="11","K","TK")</f>
        <v>TK</v>
      </c>
      <c r="I2" s="3" t="str">
        <f>RIGHT(U2,1)</f>
        <v>0</v>
      </c>
      <c r="J2" s="3" t="str">
        <f>IF(G2="P",IF(H2="K","TK/0",H2&amp;"/"&amp;I2),H2&amp;"/"&amp;I2)</f>
        <v>TK/0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s="3" t="s">
        <v>44</v>
      </c>
      <c r="R2" t="s">
        <v>36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49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  <c r="AE2" t="s">
        <v>55</v>
      </c>
      <c r="AF2" t="s">
        <v>49</v>
      </c>
      <c r="AG2">
        <v>124027</v>
      </c>
      <c r="AH2" s="1" t="s">
        <v>56</v>
      </c>
      <c r="AI2" t="s">
        <v>57</v>
      </c>
    </row>
    <row r="3" spans="1:35" x14ac:dyDescent="0.25">
      <c r="A3" t="s">
        <v>32</v>
      </c>
      <c r="B3" t="s">
        <v>32</v>
      </c>
      <c r="C3" t="s">
        <v>33</v>
      </c>
      <c r="D3" t="s">
        <v>34</v>
      </c>
      <c r="E3" t="s">
        <v>58</v>
      </c>
      <c r="F3" t="s">
        <v>59</v>
      </c>
      <c r="G3" s="3" t="s">
        <v>37</v>
      </c>
      <c r="H3" s="3" t="str">
        <f t="shared" ref="H3:H66" si="0">IF(LEFT(U3,2)="11","K","TK")</f>
        <v>TK</v>
      </c>
      <c r="I3" s="3" t="str">
        <f t="shared" ref="I3:I66" si="1">RIGHT(U3,1)</f>
        <v>0</v>
      </c>
      <c r="J3" s="3" t="str">
        <f t="shared" ref="J3:J66" si="2">IF(G3="P",IF(H3="K","TK/0",H3&amp;"/"&amp;I3),H3&amp;"/"&amp;I3)</f>
        <v>TK/0</v>
      </c>
      <c r="K3" t="s">
        <v>60</v>
      </c>
      <c r="L3" t="s">
        <v>61</v>
      </c>
      <c r="M3" t="s">
        <v>40</v>
      </c>
      <c r="N3" t="s">
        <v>62</v>
      </c>
      <c r="O3" t="s">
        <v>42</v>
      </c>
      <c r="P3" t="s">
        <v>43</v>
      </c>
      <c r="Q3" s="3" t="s">
        <v>63</v>
      </c>
      <c r="R3" t="s">
        <v>64</v>
      </c>
      <c r="S3" t="s">
        <v>45</v>
      </c>
      <c r="T3" t="s">
        <v>65</v>
      </c>
      <c r="U3" t="s">
        <v>47</v>
      </c>
      <c r="V3" t="s">
        <v>48</v>
      </c>
      <c r="W3" t="s">
        <v>49</v>
      </c>
      <c r="X3" t="s">
        <v>49</v>
      </c>
      <c r="Y3" t="s">
        <v>49</v>
      </c>
      <c r="Z3" t="s">
        <v>50</v>
      </c>
      <c r="AA3" t="s">
        <v>51</v>
      </c>
      <c r="AB3" t="s">
        <v>66</v>
      </c>
      <c r="AC3" t="s">
        <v>66</v>
      </c>
      <c r="AD3" t="s">
        <v>54</v>
      </c>
      <c r="AE3" t="s">
        <v>55</v>
      </c>
      <c r="AF3" t="s">
        <v>49</v>
      </c>
      <c r="AG3">
        <v>0</v>
      </c>
      <c r="AH3" s="1" t="s">
        <v>67</v>
      </c>
      <c r="AI3" t="s">
        <v>68</v>
      </c>
    </row>
    <row r="4" spans="1:35" x14ac:dyDescent="0.25">
      <c r="A4" t="s">
        <v>32</v>
      </c>
      <c r="B4" t="s">
        <v>32</v>
      </c>
      <c r="C4" t="s">
        <v>33</v>
      </c>
      <c r="D4" t="s">
        <v>34</v>
      </c>
      <c r="E4" t="s">
        <v>69</v>
      </c>
      <c r="F4" t="s">
        <v>70</v>
      </c>
      <c r="G4" s="3" t="s">
        <v>37</v>
      </c>
      <c r="H4" s="3" t="str">
        <f t="shared" si="0"/>
        <v>K</v>
      </c>
      <c r="I4" s="3" t="str">
        <f t="shared" si="1"/>
        <v>1</v>
      </c>
      <c r="J4" s="3" t="str">
        <f t="shared" si="2"/>
        <v>K/1</v>
      </c>
      <c r="K4" t="s">
        <v>38</v>
      </c>
      <c r="L4" t="s">
        <v>39</v>
      </c>
      <c r="M4" t="s">
        <v>40</v>
      </c>
      <c r="N4" t="s">
        <v>71</v>
      </c>
      <c r="O4" t="s">
        <v>42</v>
      </c>
      <c r="P4" t="s">
        <v>43</v>
      </c>
      <c r="Q4" s="3" t="s">
        <v>72</v>
      </c>
      <c r="R4" t="s">
        <v>70</v>
      </c>
      <c r="S4" t="s">
        <v>45</v>
      </c>
      <c r="T4" t="s">
        <v>46</v>
      </c>
      <c r="U4" t="s">
        <v>73</v>
      </c>
      <c r="V4" t="s">
        <v>48</v>
      </c>
      <c r="W4" t="s">
        <v>49</v>
      </c>
      <c r="X4" t="s">
        <v>49</v>
      </c>
      <c r="Y4" t="s">
        <v>49</v>
      </c>
      <c r="Z4" t="s">
        <v>50</v>
      </c>
      <c r="AA4" t="s">
        <v>51</v>
      </c>
      <c r="AB4" t="s">
        <v>52</v>
      </c>
      <c r="AC4" t="s">
        <v>53</v>
      </c>
      <c r="AD4" t="s">
        <v>54</v>
      </c>
      <c r="AE4" t="s">
        <v>55</v>
      </c>
      <c r="AF4" t="s">
        <v>49</v>
      </c>
      <c r="AG4">
        <v>0</v>
      </c>
      <c r="AH4" s="1" t="s">
        <v>74</v>
      </c>
      <c r="AI4" t="s">
        <v>75</v>
      </c>
    </row>
    <row r="5" spans="1:35" x14ac:dyDescent="0.25">
      <c r="A5" t="s">
        <v>32</v>
      </c>
      <c r="B5" t="s">
        <v>32</v>
      </c>
      <c r="C5" t="s">
        <v>33</v>
      </c>
      <c r="D5" t="s">
        <v>34</v>
      </c>
      <c r="E5" t="s">
        <v>76</v>
      </c>
      <c r="F5" t="s">
        <v>77</v>
      </c>
      <c r="G5" s="3" t="s">
        <v>37</v>
      </c>
      <c r="H5" s="3" t="str">
        <f t="shared" si="0"/>
        <v>K</v>
      </c>
      <c r="I5" s="3" t="str">
        <f t="shared" si="1"/>
        <v>2</v>
      </c>
      <c r="J5" s="3" t="str">
        <f t="shared" si="2"/>
        <v>K/2</v>
      </c>
      <c r="K5" t="s">
        <v>38</v>
      </c>
      <c r="L5" t="s">
        <v>39</v>
      </c>
      <c r="M5" t="s">
        <v>40</v>
      </c>
      <c r="N5" t="s">
        <v>78</v>
      </c>
      <c r="O5" t="s">
        <v>42</v>
      </c>
      <c r="P5" t="s">
        <v>43</v>
      </c>
      <c r="Q5" s="3" t="s">
        <v>79</v>
      </c>
      <c r="R5" t="s">
        <v>80</v>
      </c>
      <c r="S5" t="s">
        <v>45</v>
      </c>
      <c r="T5" t="s">
        <v>81</v>
      </c>
      <c r="U5" t="s">
        <v>82</v>
      </c>
      <c r="V5" t="s">
        <v>48</v>
      </c>
      <c r="W5" t="s">
        <v>49</v>
      </c>
      <c r="X5" t="s">
        <v>49</v>
      </c>
      <c r="Y5" t="s">
        <v>49</v>
      </c>
      <c r="Z5" t="s">
        <v>50</v>
      </c>
      <c r="AA5" t="s">
        <v>51</v>
      </c>
      <c r="AB5" t="s">
        <v>66</v>
      </c>
      <c r="AC5" t="s">
        <v>66</v>
      </c>
      <c r="AD5" t="s">
        <v>54</v>
      </c>
      <c r="AE5" t="s">
        <v>55</v>
      </c>
      <c r="AF5" t="s">
        <v>49</v>
      </c>
      <c r="AG5">
        <v>0</v>
      </c>
      <c r="AH5" s="1" t="s">
        <v>83</v>
      </c>
      <c r="AI5" t="s">
        <v>84</v>
      </c>
    </row>
    <row r="6" spans="1:35" x14ac:dyDescent="0.25">
      <c r="A6" t="s">
        <v>32</v>
      </c>
      <c r="B6" t="s">
        <v>32</v>
      </c>
      <c r="C6" t="s">
        <v>33</v>
      </c>
      <c r="D6" t="s">
        <v>34</v>
      </c>
      <c r="E6" t="s">
        <v>85</v>
      </c>
      <c r="F6" t="s">
        <v>86</v>
      </c>
      <c r="G6" s="3" t="s">
        <v>37</v>
      </c>
      <c r="H6" s="3" t="str">
        <f t="shared" si="0"/>
        <v>K</v>
      </c>
      <c r="I6" s="3" t="str">
        <f t="shared" si="1"/>
        <v>2</v>
      </c>
      <c r="J6" s="3" t="str">
        <f t="shared" si="2"/>
        <v>K/2</v>
      </c>
      <c r="K6" t="s">
        <v>87</v>
      </c>
      <c r="L6" t="s">
        <v>88</v>
      </c>
      <c r="M6" t="s">
        <v>89</v>
      </c>
      <c r="N6" t="s">
        <v>90</v>
      </c>
      <c r="O6" t="s">
        <v>42</v>
      </c>
      <c r="P6" t="s">
        <v>43</v>
      </c>
      <c r="Q6" s="3" t="s">
        <v>91</v>
      </c>
      <c r="R6" t="s">
        <v>86</v>
      </c>
      <c r="S6" t="s">
        <v>45</v>
      </c>
      <c r="T6" t="s">
        <v>92</v>
      </c>
      <c r="U6" t="s">
        <v>82</v>
      </c>
      <c r="V6" t="s">
        <v>48</v>
      </c>
      <c r="W6" t="s">
        <v>49</v>
      </c>
      <c r="X6" t="s">
        <v>49</v>
      </c>
      <c r="Y6" t="s">
        <v>49</v>
      </c>
      <c r="Z6" t="s">
        <v>50</v>
      </c>
      <c r="AA6" t="s">
        <v>51</v>
      </c>
      <c r="AB6" t="s">
        <v>66</v>
      </c>
      <c r="AC6" t="s">
        <v>66</v>
      </c>
      <c r="AD6" t="s">
        <v>93</v>
      </c>
      <c r="AE6" t="s">
        <v>55</v>
      </c>
      <c r="AF6" t="s">
        <v>49</v>
      </c>
      <c r="AG6">
        <v>0</v>
      </c>
      <c r="AH6" s="1" t="s">
        <v>94</v>
      </c>
      <c r="AI6" t="s">
        <v>95</v>
      </c>
    </row>
    <row r="7" spans="1:35" x14ac:dyDescent="0.25">
      <c r="A7" t="s">
        <v>32</v>
      </c>
      <c r="B7" t="s">
        <v>32</v>
      </c>
      <c r="C7" t="s">
        <v>33</v>
      </c>
      <c r="D7" t="s">
        <v>34</v>
      </c>
      <c r="E7" t="s">
        <v>96</v>
      </c>
      <c r="F7" t="s">
        <v>97</v>
      </c>
      <c r="G7" s="3" t="s">
        <v>37</v>
      </c>
      <c r="H7" s="3" t="str">
        <f t="shared" si="0"/>
        <v>K</v>
      </c>
      <c r="I7" s="3" t="str">
        <f t="shared" si="1"/>
        <v>2</v>
      </c>
      <c r="J7" s="3" t="str">
        <f t="shared" si="2"/>
        <v>K/2</v>
      </c>
      <c r="K7" t="s">
        <v>98</v>
      </c>
      <c r="L7" t="s">
        <v>99</v>
      </c>
      <c r="M7" t="s">
        <v>89</v>
      </c>
      <c r="N7" t="s">
        <v>100</v>
      </c>
      <c r="O7" t="s">
        <v>42</v>
      </c>
      <c r="P7" t="s">
        <v>43</v>
      </c>
      <c r="Q7" s="3" t="s">
        <v>101</v>
      </c>
      <c r="R7" t="s">
        <v>97</v>
      </c>
      <c r="S7" t="s">
        <v>45</v>
      </c>
      <c r="T7" t="s">
        <v>102</v>
      </c>
      <c r="U7" t="s">
        <v>82</v>
      </c>
      <c r="V7" t="s">
        <v>48</v>
      </c>
      <c r="W7" t="s">
        <v>49</v>
      </c>
      <c r="X7" t="s">
        <v>49</v>
      </c>
      <c r="Y7" t="s">
        <v>49</v>
      </c>
      <c r="Z7" t="s">
        <v>50</v>
      </c>
      <c r="AA7" t="s">
        <v>51</v>
      </c>
      <c r="AB7" t="s">
        <v>66</v>
      </c>
      <c r="AC7" t="s">
        <v>66</v>
      </c>
      <c r="AD7" t="s">
        <v>93</v>
      </c>
      <c r="AE7" t="s">
        <v>55</v>
      </c>
      <c r="AF7" t="s">
        <v>49</v>
      </c>
      <c r="AG7">
        <v>0</v>
      </c>
      <c r="AH7" s="1" t="s">
        <v>103</v>
      </c>
      <c r="AI7" t="s">
        <v>104</v>
      </c>
    </row>
    <row r="8" spans="1:35" x14ac:dyDescent="0.25">
      <c r="A8" t="s">
        <v>32</v>
      </c>
      <c r="B8" t="s">
        <v>32</v>
      </c>
      <c r="C8" t="s">
        <v>33</v>
      </c>
      <c r="D8" t="s">
        <v>34</v>
      </c>
      <c r="E8" t="s">
        <v>105</v>
      </c>
      <c r="F8" t="s">
        <v>106</v>
      </c>
      <c r="G8" s="3" t="s">
        <v>37</v>
      </c>
      <c r="H8" s="3" t="str">
        <f t="shared" si="0"/>
        <v>TK</v>
      </c>
      <c r="I8" s="3" t="str">
        <f t="shared" si="1"/>
        <v>0</v>
      </c>
      <c r="J8" s="3" t="str">
        <f t="shared" si="2"/>
        <v>TK/0</v>
      </c>
      <c r="K8" t="s">
        <v>107</v>
      </c>
      <c r="L8" t="s">
        <v>108</v>
      </c>
      <c r="M8" t="s">
        <v>109</v>
      </c>
      <c r="N8" t="s">
        <v>110</v>
      </c>
      <c r="O8" t="s">
        <v>42</v>
      </c>
      <c r="P8" t="s">
        <v>43</v>
      </c>
      <c r="Q8" s="3" t="s">
        <v>111</v>
      </c>
      <c r="R8" t="s">
        <v>112</v>
      </c>
      <c r="S8" t="s">
        <v>45</v>
      </c>
      <c r="T8" t="s">
        <v>113</v>
      </c>
      <c r="U8" t="s">
        <v>47</v>
      </c>
      <c r="V8" t="s">
        <v>48</v>
      </c>
      <c r="W8" t="s">
        <v>49</v>
      </c>
      <c r="X8" t="s">
        <v>49</v>
      </c>
      <c r="Y8" t="s">
        <v>49</v>
      </c>
      <c r="Z8" t="s">
        <v>50</v>
      </c>
      <c r="AA8" t="s">
        <v>51</v>
      </c>
      <c r="AB8" t="s">
        <v>52</v>
      </c>
      <c r="AC8" t="s">
        <v>53</v>
      </c>
      <c r="AD8" t="s">
        <v>114</v>
      </c>
      <c r="AE8" t="s">
        <v>55</v>
      </c>
      <c r="AF8" t="s">
        <v>49</v>
      </c>
      <c r="AG8">
        <v>241164</v>
      </c>
      <c r="AH8" s="1" t="s">
        <v>115</v>
      </c>
      <c r="AI8" t="s">
        <v>116</v>
      </c>
    </row>
    <row r="9" spans="1:35" x14ac:dyDescent="0.25">
      <c r="A9" t="s">
        <v>32</v>
      </c>
      <c r="B9" t="s">
        <v>32</v>
      </c>
      <c r="C9" t="s">
        <v>33</v>
      </c>
      <c r="D9" t="s">
        <v>34</v>
      </c>
      <c r="E9" t="s">
        <v>117</v>
      </c>
      <c r="F9" t="s">
        <v>118</v>
      </c>
      <c r="G9" s="3" t="s">
        <v>37</v>
      </c>
      <c r="H9" s="3" t="str">
        <f t="shared" si="0"/>
        <v>K</v>
      </c>
      <c r="I9" s="3" t="str">
        <f t="shared" si="1"/>
        <v>1</v>
      </c>
      <c r="J9" s="3" t="str">
        <f t="shared" si="2"/>
        <v>K/1</v>
      </c>
      <c r="K9" t="s">
        <v>60</v>
      </c>
      <c r="L9" t="s">
        <v>61</v>
      </c>
      <c r="M9" t="s">
        <v>40</v>
      </c>
      <c r="N9" t="s">
        <v>119</v>
      </c>
      <c r="O9" t="s">
        <v>42</v>
      </c>
      <c r="P9" t="s">
        <v>43</v>
      </c>
      <c r="Q9" s="3" t="s">
        <v>120</v>
      </c>
      <c r="R9" t="s">
        <v>121</v>
      </c>
      <c r="S9" t="s">
        <v>45</v>
      </c>
      <c r="T9" t="s">
        <v>65</v>
      </c>
      <c r="U9" t="s">
        <v>73</v>
      </c>
      <c r="V9" t="s">
        <v>48</v>
      </c>
      <c r="W9" t="s">
        <v>49</v>
      </c>
      <c r="X9" t="s">
        <v>49</v>
      </c>
      <c r="Y9" t="s">
        <v>49</v>
      </c>
      <c r="Z9" t="s">
        <v>50</v>
      </c>
      <c r="AA9" t="s">
        <v>51</v>
      </c>
      <c r="AB9" t="s">
        <v>66</v>
      </c>
      <c r="AC9" t="s">
        <v>66</v>
      </c>
      <c r="AD9" t="s">
        <v>54</v>
      </c>
      <c r="AE9" t="s">
        <v>55</v>
      </c>
      <c r="AF9" t="s">
        <v>49</v>
      </c>
      <c r="AG9">
        <v>0</v>
      </c>
      <c r="AH9" s="1" t="s">
        <v>122</v>
      </c>
      <c r="AI9" t="s">
        <v>123</v>
      </c>
    </row>
    <row r="10" spans="1:35" x14ac:dyDescent="0.25">
      <c r="A10" t="s">
        <v>32</v>
      </c>
      <c r="B10" t="s">
        <v>32</v>
      </c>
      <c r="C10" t="s">
        <v>33</v>
      </c>
      <c r="D10" t="s">
        <v>34</v>
      </c>
      <c r="E10" t="s">
        <v>124</v>
      </c>
      <c r="F10" t="s">
        <v>125</v>
      </c>
      <c r="G10" s="3" t="s">
        <v>37</v>
      </c>
      <c r="H10" s="3" t="str">
        <f t="shared" si="0"/>
        <v>TK</v>
      </c>
      <c r="I10" s="3" t="str">
        <f t="shared" si="1"/>
        <v>0</v>
      </c>
      <c r="J10" s="3" t="str">
        <f t="shared" si="2"/>
        <v>TK/0</v>
      </c>
      <c r="K10" t="s">
        <v>60</v>
      </c>
      <c r="L10" t="s">
        <v>61</v>
      </c>
      <c r="M10" t="s">
        <v>40</v>
      </c>
      <c r="N10" t="s">
        <v>126</v>
      </c>
      <c r="O10" t="s">
        <v>42</v>
      </c>
      <c r="P10" t="s">
        <v>43</v>
      </c>
      <c r="Q10" s="3" t="s">
        <v>127</v>
      </c>
      <c r="R10" t="s">
        <v>125</v>
      </c>
      <c r="S10" t="s">
        <v>45</v>
      </c>
      <c r="T10" t="s">
        <v>128</v>
      </c>
      <c r="U10" t="s">
        <v>47</v>
      </c>
      <c r="V10" t="s">
        <v>48</v>
      </c>
      <c r="W10" t="s">
        <v>49</v>
      </c>
      <c r="X10" t="s">
        <v>49</v>
      </c>
      <c r="Y10" t="s">
        <v>49</v>
      </c>
      <c r="Z10" t="s">
        <v>50</v>
      </c>
      <c r="AA10" t="s">
        <v>51</v>
      </c>
      <c r="AB10" t="s">
        <v>66</v>
      </c>
      <c r="AC10" t="s">
        <v>66</v>
      </c>
      <c r="AD10" t="s">
        <v>54</v>
      </c>
      <c r="AE10" t="s">
        <v>55</v>
      </c>
      <c r="AF10" t="s">
        <v>49</v>
      </c>
      <c r="AG10">
        <v>0</v>
      </c>
      <c r="AH10" s="1" t="s">
        <v>129</v>
      </c>
      <c r="AI10" t="s">
        <v>130</v>
      </c>
    </row>
    <row r="11" spans="1:35" x14ac:dyDescent="0.25">
      <c r="A11" t="s">
        <v>32</v>
      </c>
      <c r="B11" t="s">
        <v>32</v>
      </c>
      <c r="C11" t="s">
        <v>33</v>
      </c>
      <c r="D11" t="s">
        <v>34</v>
      </c>
      <c r="E11" t="s">
        <v>131</v>
      </c>
      <c r="F11" t="s">
        <v>132</v>
      </c>
      <c r="G11" s="3" t="s">
        <v>37</v>
      </c>
      <c r="H11" s="3" t="str">
        <f t="shared" si="0"/>
        <v>TK</v>
      </c>
      <c r="I11" s="3" t="str">
        <f t="shared" si="1"/>
        <v>0</v>
      </c>
      <c r="J11" s="3" t="str">
        <f t="shared" si="2"/>
        <v>TK/0</v>
      </c>
      <c r="K11" t="s">
        <v>60</v>
      </c>
      <c r="L11" t="s">
        <v>61</v>
      </c>
      <c r="M11" t="s">
        <v>133</v>
      </c>
      <c r="N11" t="s">
        <v>134</v>
      </c>
      <c r="O11" t="s">
        <v>42</v>
      </c>
      <c r="P11" t="s">
        <v>43</v>
      </c>
      <c r="Q11" s="3" t="s">
        <v>135</v>
      </c>
      <c r="R11" t="s">
        <v>132</v>
      </c>
      <c r="S11" t="s">
        <v>45</v>
      </c>
      <c r="T11" t="s">
        <v>136</v>
      </c>
      <c r="U11" t="s">
        <v>47</v>
      </c>
      <c r="V11" t="s">
        <v>48</v>
      </c>
      <c r="W11" t="s">
        <v>49</v>
      </c>
      <c r="X11" t="s">
        <v>49</v>
      </c>
      <c r="Y11" t="s">
        <v>49</v>
      </c>
      <c r="Z11" t="s">
        <v>50</v>
      </c>
      <c r="AA11" t="s">
        <v>51</v>
      </c>
      <c r="AB11" t="s">
        <v>66</v>
      </c>
      <c r="AC11" t="s">
        <v>66</v>
      </c>
      <c r="AD11" t="s">
        <v>55</v>
      </c>
      <c r="AE11" t="s">
        <v>55</v>
      </c>
      <c r="AF11" t="s">
        <v>48</v>
      </c>
      <c r="AG11">
        <v>0</v>
      </c>
      <c r="AH11" s="1" t="s">
        <v>134</v>
      </c>
      <c r="AI11" t="s">
        <v>137</v>
      </c>
    </row>
    <row r="12" spans="1:35" x14ac:dyDescent="0.25">
      <c r="A12" t="s">
        <v>32</v>
      </c>
      <c r="B12" t="s">
        <v>32</v>
      </c>
      <c r="C12" t="s">
        <v>33</v>
      </c>
      <c r="D12" t="s">
        <v>34</v>
      </c>
      <c r="E12" t="s">
        <v>138</v>
      </c>
      <c r="F12" t="s">
        <v>139</v>
      </c>
      <c r="G12" s="3" t="s">
        <v>37</v>
      </c>
      <c r="H12" s="3" t="str">
        <f t="shared" si="0"/>
        <v>K</v>
      </c>
      <c r="I12" s="3" t="str">
        <f t="shared" si="1"/>
        <v>1</v>
      </c>
      <c r="J12" s="3" t="str">
        <f t="shared" si="2"/>
        <v>K/1</v>
      </c>
      <c r="K12" t="s">
        <v>38</v>
      </c>
      <c r="L12" t="s">
        <v>39</v>
      </c>
      <c r="M12" t="s">
        <v>40</v>
      </c>
      <c r="N12" t="s">
        <v>140</v>
      </c>
      <c r="O12" t="s">
        <v>42</v>
      </c>
      <c r="P12" t="s">
        <v>43</v>
      </c>
      <c r="Q12" s="3" t="s">
        <v>141</v>
      </c>
      <c r="R12" t="s">
        <v>139</v>
      </c>
      <c r="S12" t="s">
        <v>45</v>
      </c>
      <c r="T12" t="s">
        <v>46</v>
      </c>
      <c r="U12" t="s">
        <v>73</v>
      </c>
      <c r="V12" t="s">
        <v>48</v>
      </c>
      <c r="W12" t="s">
        <v>49</v>
      </c>
      <c r="X12" t="s">
        <v>49</v>
      </c>
      <c r="Y12" t="s">
        <v>49</v>
      </c>
      <c r="Z12" t="s">
        <v>50</v>
      </c>
      <c r="AA12" t="s">
        <v>51</v>
      </c>
      <c r="AB12" t="s">
        <v>52</v>
      </c>
      <c r="AC12" t="s">
        <v>53</v>
      </c>
      <c r="AD12" t="s">
        <v>54</v>
      </c>
      <c r="AE12" t="s">
        <v>55</v>
      </c>
      <c r="AF12" t="s">
        <v>49</v>
      </c>
      <c r="AG12">
        <v>0</v>
      </c>
      <c r="AH12" s="1" t="s">
        <v>142</v>
      </c>
      <c r="AI12" t="s">
        <v>143</v>
      </c>
    </row>
    <row r="13" spans="1:35" x14ac:dyDescent="0.25">
      <c r="A13" t="s">
        <v>32</v>
      </c>
      <c r="B13" t="s">
        <v>32</v>
      </c>
      <c r="C13" t="s">
        <v>33</v>
      </c>
      <c r="D13" t="s">
        <v>34</v>
      </c>
      <c r="E13" t="s">
        <v>144</v>
      </c>
      <c r="F13" t="s">
        <v>145</v>
      </c>
      <c r="G13" s="3" t="s">
        <v>37</v>
      </c>
      <c r="H13" s="3" t="str">
        <f t="shared" si="0"/>
        <v>K</v>
      </c>
      <c r="I13" s="3" t="str">
        <f t="shared" si="1"/>
        <v>0</v>
      </c>
      <c r="J13" s="3" t="str">
        <f t="shared" si="2"/>
        <v>K/0</v>
      </c>
      <c r="K13" t="s">
        <v>38</v>
      </c>
      <c r="L13" t="s">
        <v>39</v>
      </c>
      <c r="M13" t="s">
        <v>40</v>
      </c>
      <c r="N13" t="s">
        <v>146</v>
      </c>
      <c r="O13" t="s">
        <v>42</v>
      </c>
      <c r="P13" t="s">
        <v>43</v>
      </c>
      <c r="Q13" s="3" t="s">
        <v>147</v>
      </c>
      <c r="R13" t="s">
        <v>145</v>
      </c>
      <c r="S13" t="s">
        <v>45</v>
      </c>
      <c r="T13" t="s">
        <v>46</v>
      </c>
      <c r="U13" t="s">
        <v>148</v>
      </c>
      <c r="V13" t="s">
        <v>48</v>
      </c>
      <c r="W13" t="s">
        <v>49</v>
      </c>
      <c r="X13" t="s">
        <v>49</v>
      </c>
      <c r="Y13" t="s">
        <v>49</v>
      </c>
      <c r="Z13" t="s">
        <v>50</v>
      </c>
      <c r="AA13" t="s">
        <v>51</v>
      </c>
      <c r="AB13" t="s">
        <v>66</v>
      </c>
      <c r="AC13" t="s">
        <v>66</v>
      </c>
      <c r="AD13" t="s">
        <v>54</v>
      </c>
      <c r="AE13" t="s">
        <v>55</v>
      </c>
      <c r="AF13" t="s">
        <v>49</v>
      </c>
      <c r="AG13">
        <v>62014</v>
      </c>
      <c r="AH13" s="1" t="s">
        <v>149</v>
      </c>
      <c r="AI13" t="s">
        <v>150</v>
      </c>
    </row>
    <row r="14" spans="1:35" x14ac:dyDescent="0.25">
      <c r="A14" t="s">
        <v>32</v>
      </c>
      <c r="B14" t="s">
        <v>32</v>
      </c>
      <c r="C14" t="s">
        <v>33</v>
      </c>
      <c r="D14" t="s">
        <v>34</v>
      </c>
      <c r="E14" t="s">
        <v>151</v>
      </c>
      <c r="F14" t="s">
        <v>152</v>
      </c>
      <c r="G14" s="3" t="s">
        <v>37</v>
      </c>
      <c r="H14" s="3" t="str">
        <f t="shared" si="0"/>
        <v>K</v>
      </c>
      <c r="I14" s="3" t="str">
        <f t="shared" si="1"/>
        <v>2</v>
      </c>
      <c r="J14" s="3" t="str">
        <f t="shared" si="2"/>
        <v>K/2</v>
      </c>
      <c r="K14" t="s">
        <v>38</v>
      </c>
      <c r="L14" t="s">
        <v>39</v>
      </c>
      <c r="M14" t="s">
        <v>40</v>
      </c>
      <c r="N14" t="s">
        <v>153</v>
      </c>
      <c r="O14" t="s">
        <v>42</v>
      </c>
      <c r="P14" t="s">
        <v>43</v>
      </c>
      <c r="Q14" s="3" t="s">
        <v>154</v>
      </c>
      <c r="R14" t="s">
        <v>152</v>
      </c>
      <c r="S14" t="s">
        <v>45</v>
      </c>
      <c r="T14" t="s">
        <v>46</v>
      </c>
      <c r="U14" t="s">
        <v>82</v>
      </c>
      <c r="V14" t="s">
        <v>48</v>
      </c>
      <c r="W14" t="s">
        <v>49</v>
      </c>
      <c r="X14" t="s">
        <v>49</v>
      </c>
      <c r="Y14" t="s">
        <v>49</v>
      </c>
      <c r="Z14" t="s">
        <v>50</v>
      </c>
      <c r="AA14" t="s">
        <v>51</v>
      </c>
      <c r="AB14" t="s">
        <v>52</v>
      </c>
      <c r="AC14" t="s">
        <v>53</v>
      </c>
      <c r="AD14" t="s">
        <v>54</v>
      </c>
      <c r="AE14" t="s">
        <v>55</v>
      </c>
      <c r="AF14" t="s">
        <v>49</v>
      </c>
      <c r="AG14">
        <v>62014</v>
      </c>
      <c r="AH14" s="1" t="s">
        <v>155</v>
      </c>
      <c r="AI14" t="s">
        <v>156</v>
      </c>
    </row>
    <row r="15" spans="1:35" x14ac:dyDescent="0.25">
      <c r="A15" t="s">
        <v>32</v>
      </c>
      <c r="B15" t="s">
        <v>32</v>
      </c>
      <c r="C15" t="s">
        <v>33</v>
      </c>
      <c r="D15" t="s">
        <v>34</v>
      </c>
      <c r="E15" t="s">
        <v>157</v>
      </c>
      <c r="F15" t="s">
        <v>158</v>
      </c>
      <c r="G15" s="3" t="s">
        <v>37</v>
      </c>
      <c r="H15" s="3" t="str">
        <f t="shared" si="0"/>
        <v>TK</v>
      </c>
      <c r="I15" s="3" t="str">
        <f t="shared" si="1"/>
        <v>0</v>
      </c>
      <c r="J15" s="3" t="str">
        <f t="shared" si="2"/>
        <v>TK/0</v>
      </c>
      <c r="K15" t="s">
        <v>60</v>
      </c>
      <c r="L15" t="s">
        <v>61</v>
      </c>
      <c r="M15" t="s">
        <v>133</v>
      </c>
      <c r="N15" t="s">
        <v>159</v>
      </c>
      <c r="O15" t="s">
        <v>42</v>
      </c>
      <c r="P15" t="s">
        <v>43</v>
      </c>
      <c r="Q15" s="3" t="s">
        <v>160</v>
      </c>
      <c r="R15" t="s">
        <v>158</v>
      </c>
      <c r="S15" t="s">
        <v>45</v>
      </c>
      <c r="T15" t="s">
        <v>136</v>
      </c>
      <c r="U15" t="s">
        <v>47</v>
      </c>
      <c r="V15" t="s">
        <v>48</v>
      </c>
      <c r="W15" t="s">
        <v>49</v>
      </c>
      <c r="X15" t="s">
        <v>49</v>
      </c>
      <c r="Y15" t="s">
        <v>49</v>
      </c>
      <c r="Z15" t="s">
        <v>50</v>
      </c>
      <c r="AA15" t="s">
        <v>51</v>
      </c>
      <c r="AB15" t="s">
        <v>66</v>
      </c>
      <c r="AC15" t="s">
        <v>66</v>
      </c>
      <c r="AD15" t="s">
        <v>55</v>
      </c>
      <c r="AE15" t="s">
        <v>55</v>
      </c>
      <c r="AF15" t="s">
        <v>48</v>
      </c>
      <c r="AG15">
        <v>0</v>
      </c>
      <c r="AH15" s="1" t="s">
        <v>159</v>
      </c>
      <c r="AI15" t="s">
        <v>161</v>
      </c>
    </row>
    <row r="16" spans="1:35" x14ac:dyDescent="0.25">
      <c r="A16" t="s">
        <v>32</v>
      </c>
      <c r="B16" t="s">
        <v>32</v>
      </c>
      <c r="C16" t="s">
        <v>33</v>
      </c>
      <c r="D16" t="s">
        <v>34</v>
      </c>
      <c r="E16" t="s">
        <v>162</v>
      </c>
      <c r="F16" t="s">
        <v>163</v>
      </c>
      <c r="G16" s="3" t="s">
        <v>37</v>
      </c>
      <c r="H16" s="3" t="str">
        <f t="shared" si="0"/>
        <v>K</v>
      </c>
      <c r="I16" s="3" t="str">
        <f t="shared" si="1"/>
        <v>0</v>
      </c>
      <c r="J16" s="3" t="str">
        <f t="shared" si="2"/>
        <v>K/0</v>
      </c>
      <c r="K16" t="s">
        <v>87</v>
      </c>
      <c r="L16" t="s">
        <v>88</v>
      </c>
      <c r="M16" t="s">
        <v>89</v>
      </c>
      <c r="N16" t="s">
        <v>164</v>
      </c>
      <c r="O16" t="s">
        <v>42</v>
      </c>
      <c r="P16" t="s">
        <v>43</v>
      </c>
      <c r="Q16" s="3" t="s">
        <v>165</v>
      </c>
      <c r="R16" t="s">
        <v>163</v>
      </c>
      <c r="S16" t="s">
        <v>45</v>
      </c>
      <c r="T16" t="s">
        <v>166</v>
      </c>
      <c r="U16" t="s">
        <v>148</v>
      </c>
      <c r="V16" t="s">
        <v>48</v>
      </c>
      <c r="W16" t="s">
        <v>49</v>
      </c>
      <c r="X16" t="s">
        <v>49</v>
      </c>
      <c r="Y16" t="s">
        <v>49</v>
      </c>
      <c r="Z16" t="s">
        <v>50</v>
      </c>
      <c r="AA16" t="s">
        <v>51</v>
      </c>
      <c r="AB16" t="s">
        <v>66</v>
      </c>
      <c r="AC16" t="s">
        <v>66</v>
      </c>
      <c r="AD16" t="s">
        <v>93</v>
      </c>
      <c r="AE16" t="s">
        <v>55</v>
      </c>
      <c r="AF16" t="s">
        <v>49</v>
      </c>
      <c r="AG16">
        <v>0</v>
      </c>
      <c r="AH16" s="1" t="s">
        <v>167</v>
      </c>
      <c r="AI16" t="s">
        <v>168</v>
      </c>
    </row>
    <row r="17" spans="1:35" x14ac:dyDescent="0.25">
      <c r="A17" t="s">
        <v>32</v>
      </c>
      <c r="B17" t="s">
        <v>32</v>
      </c>
      <c r="C17" t="s">
        <v>33</v>
      </c>
      <c r="D17" t="s">
        <v>34</v>
      </c>
      <c r="E17" t="s">
        <v>169</v>
      </c>
      <c r="F17" t="s">
        <v>170</v>
      </c>
      <c r="G17" s="3" t="s">
        <v>37</v>
      </c>
      <c r="H17" s="3" t="str">
        <f t="shared" si="0"/>
        <v>K</v>
      </c>
      <c r="I17" s="3" t="str">
        <f t="shared" si="1"/>
        <v>2</v>
      </c>
      <c r="J17" s="3" t="str">
        <f t="shared" si="2"/>
        <v>K/2</v>
      </c>
      <c r="K17" t="s">
        <v>171</v>
      </c>
      <c r="L17" t="s">
        <v>172</v>
      </c>
      <c r="M17" t="s">
        <v>40</v>
      </c>
      <c r="N17" t="s">
        <v>173</v>
      </c>
      <c r="O17" t="s">
        <v>42</v>
      </c>
      <c r="P17" t="s">
        <v>43</v>
      </c>
      <c r="Q17" s="3" t="s">
        <v>174</v>
      </c>
      <c r="R17" t="s">
        <v>170</v>
      </c>
      <c r="S17" t="s">
        <v>45</v>
      </c>
      <c r="T17" t="s">
        <v>175</v>
      </c>
      <c r="U17" t="s">
        <v>82</v>
      </c>
      <c r="V17" t="s">
        <v>48</v>
      </c>
      <c r="W17" t="s">
        <v>49</v>
      </c>
      <c r="X17" t="s">
        <v>49</v>
      </c>
      <c r="Y17" t="s">
        <v>49</v>
      </c>
      <c r="Z17" t="s">
        <v>50</v>
      </c>
      <c r="AA17" t="s">
        <v>51</v>
      </c>
      <c r="AB17" t="s">
        <v>66</v>
      </c>
      <c r="AC17" t="s">
        <v>66</v>
      </c>
      <c r="AD17" t="s">
        <v>54</v>
      </c>
      <c r="AE17" t="s">
        <v>55</v>
      </c>
      <c r="AF17" t="s">
        <v>49</v>
      </c>
      <c r="AG17">
        <v>0</v>
      </c>
      <c r="AH17" s="1" t="s">
        <v>176</v>
      </c>
      <c r="AI17" t="s">
        <v>177</v>
      </c>
    </row>
    <row r="18" spans="1:35" x14ac:dyDescent="0.25">
      <c r="A18" t="s">
        <v>32</v>
      </c>
      <c r="B18" t="s">
        <v>32</v>
      </c>
      <c r="C18" t="s">
        <v>33</v>
      </c>
      <c r="D18" t="s">
        <v>34</v>
      </c>
      <c r="E18" t="s">
        <v>178</v>
      </c>
      <c r="F18" t="s">
        <v>179</v>
      </c>
      <c r="G18" s="3" t="s">
        <v>180</v>
      </c>
      <c r="H18" s="3" t="str">
        <f t="shared" si="0"/>
        <v>TK</v>
      </c>
      <c r="I18" s="3" t="str">
        <f t="shared" si="1"/>
        <v>0</v>
      </c>
      <c r="J18" s="3" t="str">
        <f t="shared" si="2"/>
        <v>TK/0</v>
      </c>
      <c r="K18" t="s">
        <v>60</v>
      </c>
      <c r="L18" t="s">
        <v>61</v>
      </c>
      <c r="M18" t="s">
        <v>133</v>
      </c>
      <c r="N18" t="s">
        <v>181</v>
      </c>
      <c r="O18" t="s">
        <v>42</v>
      </c>
      <c r="P18" t="s">
        <v>43</v>
      </c>
      <c r="Q18" s="3" t="s">
        <v>182</v>
      </c>
      <c r="R18" t="s">
        <v>179</v>
      </c>
      <c r="S18" t="s">
        <v>45</v>
      </c>
      <c r="T18" t="s">
        <v>136</v>
      </c>
      <c r="U18" t="s">
        <v>47</v>
      </c>
      <c r="V18" t="s">
        <v>48</v>
      </c>
      <c r="W18" t="s">
        <v>49</v>
      </c>
      <c r="X18" t="s">
        <v>49</v>
      </c>
      <c r="Y18" t="s">
        <v>49</v>
      </c>
      <c r="Z18" t="s">
        <v>50</v>
      </c>
      <c r="AA18" t="s">
        <v>51</v>
      </c>
      <c r="AB18" t="s">
        <v>66</v>
      </c>
      <c r="AC18" t="s">
        <v>66</v>
      </c>
      <c r="AD18" t="s">
        <v>55</v>
      </c>
      <c r="AE18" t="s">
        <v>55</v>
      </c>
      <c r="AF18" t="s">
        <v>48</v>
      </c>
      <c r="AG18">
        <v>0</v>
      </c>
      <c r="AH18" s="1" t="s">
        <v>181</v>
      </c>
      <c r="AI18" t="s">
        <v>183</v>
      </c>
    </row>
    <row r="19" spans="1:35" x14ac:dyDescent="0.25">
      <c r="A19" t="s">
        <v>32</v>
      </c>
      <c r="B19" t="s">
        <v>32</v>
      </c>
      <c r="C19" t="s">
        <v>33</v>
      </c>
      <c r="D19" t="s">
        <v>34</v>
      </c>
      <c r="E19" t="s">
        <v>184</v>
      </c>
      <c r="F19" t="s">
        <v>185</v>
      </c>
      <c r="G19" s="3" t="s">
        <v>37</v>
      </c>
      <c r="H19" s="3" t="str">
        <f t="shared" si="0"/>
        <v>TK</v>
      </c>
      <c r="I19" s="3" t="str">
        <f t="shared" si="1"/>
        <v>0</v>
      </c>
      <c r="J19" s="3" t="str">
        <f t="shared" si="2"/>
        <v>TK/0</v>
      </c>
      <c r="K19" t="s">
        <v>60</v>
      </c>
      <c r="L19" t="s">
        <v>61</v>
      </c>
      <c r="M19" t="s">
        <v>133</v>
      </c>
      <c r="N19" t="s">
        <v>186</v>
      </c>
      <c r="O19" t="s">
        <v>42</v>
      </c>
      <c r="P19" t="s">
        <v>43</v>
      </c>
      <c r="Q19" s="3" t="s">
        <v>187</v>
      </c>
      <c r="R19" t="s">
        <v>185</v>
      </c>
      <c r="S19" t="s">
        <v>45</v>
      </c>
      <c r="T19" t="s">
        <v>136</v>
      </c>
      <c r="U19" t="s">
        <v>47</v>
      </c>
      <c r="V19" t="s">
        <v>48</v>
      </c>
      <c r="W19" t="s">
        <v>49</v>
      </c>
      <c r="X19" t="s">
        <v>49</v>
      </c>
      <c r="Y19" t="s">
        <v>49</v>
      </c>
      <c r="Z19" t="s">
        <v>50</v>
      </c>
      <c r="AA19" t="s">
        <v>51</v>
      </c>
      <c r="AB19" t="s">
        <v>66</v>
      </c>
      <c r="AC19" t="s">
        <v>66</v>
      </c>
      <c r="AD19" t="s">
        <v>55</v>
      </c>
      <c r="AE19" t="s">
        <v>55</v>
      </c>
      <c r="AF19" t="s">
        <v>48</v>
      </c>
      <c r="AG19">
        <v>0</v>
      </c>
      <c r="AH19" s="1" t="s">
        <v>186</v>
      </c>
      <c r="AI19" t="s">
        <v>188</v>
      </c>
    </row>
    <row r="20" spans="1:35" x14ac:dyDescent="0.25">
      <c r="A20" t="s">
        <v>32</v>
      </c>
      <c r="B20" t="s">
        <v>32</v>
      </c>
      <c r="C20" t="s">
        <v>33</v>
      </c>
      <c r="D20" t="s">
        <v>34</v>
      </c>
      <c r="E20" t="s">
        <v>189</v>
      </c>
      <c r="F20" t="s">
        <v>190</v>
      </c>
      <c r="G20" s="3" t="s">
        <v>37</v>
      </c>
      <c r="H20" s="3" t="str">
        <f t="shared" si="0"/>
        <v>K</v>
      </c>
      <c r="I20" s="3" t="str">
        <f t="shared" si="1"/>
        <v>0</v>
      </c>
      <c r="J20" s="3" t="str">
        <f t="shared" si="2"/>
        <v>K/0</v>
      </c>
      <c r="K20" t="s">
        <v>38</v>
      </c>
      <c r="L20" t="s">
        <v>39</v>
      </c>
      <c r="M20" t="s">
        <v>40</v>
      </c>
      <c r="N20" t="s">
        <v>191</v>
      </c>
      <c r="O20" t="s">
        <v>42</v>
      </c>
      <c r="P20" t="s">
        <v>43</v>
      </c>
      <c r="Q20" s="3" t="s">
        <v>192</v>
      </c>
      <c r="R20" t="s">
        <v>190</v>
      </c>
      <c r="S20" t="s">
        <v>45</v>
      </c>
      <c r="T20" t="s">
        <v>46</v>
      </c>
      <c r="U20" t="s">
        <v>148</v>
      </c>
      <c r="V20" t="s">
        <v>48</v>
      </c>
      <c r="W20" t="s">
        <v>49</v>
      </c>
      <c r="X20" t="s">
        <v>49</v>
      </c>
      <c r="Y20" t="s">
        <v>49</v>
      </c>
      <c r="Z20" t="s">
        <v>50</v>
      </c>
      <c r="AA20" t="s">
        <v>51</v>
      </c>
      <c r="AB20" t="s">
        <v>66</v>
      </c>
      <c r="AC20" t="s">
        <v>66</v>
      </c>
      <c r="AD20" t="s">
        <v>54</v>
      </c>
      <c r="AE20" t="s">
        <v>55</v>
      </c>
      <c r="AF20" t="s">
        <v>49</v>
      </c>
      <c r="AG20">
        <v>0</v>
      </c>
      <c r="AH20" s="1" t="s">
        <v>193</v>
      </c>
      <c r="AI20" t="s">
        <v>194</v>
      </c>
    </row>
    <row r="21" spans="1:35" x14ac:dyDescent="0.25">
      <c r="A21" t="s">
        <v>32</v>
      </c>
      <c r="B21" t="s">
        <v>32</v>
      </c>
      <c r="C21" t="s">
        <v>33</v>
      </c>
      <c r="D21" t="s">
        <v>34</v>
      </c>
      <c r="E21" t="s">
        <v>195</v>
      </c>
      <c r="F21" t="s">
        <v>196</v>
      </c>
      <c r="G21" s="3" t="s">
        <v>37</v>
      </c>
      <c r="H21" s="3" t="str">
        <f t="shared" si="0"/>
        <v>K</v>
      </c>
      <c r="I21" s="3" t="str">
        <f t="shared" si="1"/>
        <v>2</v>
      </c>
      <c r="J21" s="3" t="str">
        <f t="shared" si="2"/>
        <v>K/2</v>
      </c>
      <c r="K21" t="s">
        <v>87</v>
      </c>
      <c r="L21" t="s">
        <v>88</v>
      </c>
      <c r="M21" t="s">
        <v>109</v>
      </c>
      <c r="N21" t="s">
        <v>197</v>
      </c>
      <c r="O21" t="s">
        <v>42</v>
      </c>
      <c r="P21" t="s">
        <v>43</v>
      </c>
      <c r="Q21" s="3" t="s">
        <v>198</v>
      </c>
      <c r="R21" t="s">
        <v>199</v>
      </c>
      <c r="S21" t="s">
        <v>45</v>
      </c>
      <c r="T21" t="s">
        <v>200</v>
      </c>
      <c r="U21" t="s">
        <v>82</v>
      </c>
      <c r="V21" t="s">
        <v>48</v>
      </c>
      <c r="W21" t="s">
        <v>49</v>
      </c>
      <c r="X21" t="s">
        <v>49</v>
      </c>
      <c r="Y21" t="s">
        <v>49</v>
      </c>
      <c r="Z21" t="s">
        <v>50</v>
      </c>
      <c r="AA21" t="s">
        <v>51</v>
      </c>
      <c r="AB21" t="s">
        <v>66</v>
      </c>
      <c r="AC21" t="s">
        <v>66</v>
      </c>
      <c r="AD21" t="s">
        <v>114</v>
      </c>
      <c r="AE21" t="s">
        <v>55</v>
      </c>
      <c r="AF21" t="s">
        <v>49</v>
      </c>
      <c r="AG21">
        <v>124027</v>
      </c>
      <c r="AH21" s="1" t="s">
        <v>201</v>
      </c>
      <c r="AI21" t="s">
        <v>202</v>
      </c>
    </row>
    <row r="22" spans="1:35" x14ac:dyDescent="0.25">
      <c r="A22" t="s">
        <v>32</v>
      </c>
      <c r="B22" t="s">
        <v>32</v>
      </c>
      <c r="C22" t="s">
        <v>33</v>
      </c>
      <c r="D22" t="s">
        <v>34</v>
      </c>
      <c r="E22" t="s">
        <v>203</v>
      </c>
      <c r="F22" t="s">
        <v>204</v>
      </c>
      <c r="G22" s="3" t="s">
        <v>37</v>
      </c>
      <c r="H22" s="3" t="str">
        <f t="shared" si="0"/>
        <v>K</v>
      </c>
      <c r="I22" s="3" t="str">
        <f t="shared" si="1"/>
        <v>1</v>
      </c>
      <c r="J22" s="3" t="str">
        <f t="shared" si="2"/>
        <v>K/1</v>
      </c>
      <c r="K22" t="s">
        <v>205</v>
      </c>
      <c r="L22" t="s">
        <v>206</v>
      </c>
      <c r="M22" t="s">
        <v>207</v>
      </c>
      <c r="N22" t="s">
        <v>208</v>
      </c>
      <c r="O22" t="s">
        <v>42</v>
      </c>
      <c r="P22" t="s">
        <v>43</v>
      </c>
      <c r="Q22" s="3" t="s">
        <v>209</v>
      </c>
      <c r="R22" t="s">
        <v>210</v>
      </c>
      <c r="S22" t="s">
        <v>45</v>
      </c>
      <c r="T22" t="s">
        <v>211</v>
      </c>
      <c r="U22" t="s">
        <v>73</v>
      </c>
      <c r="V22" t="s">
        <v>48</v>
      </c>
      <c r="W22" t="s">
        <v>49</v>
      </c>
      <c r="X22" t="s">
        <v>49</v>
      </c>
      <c r="Y22" t="s">
        <v>49</v>
      </c>
      <c r="Z22" t="s">
        <v>50</v>
      </c>
      <c r="AA22" t="s">
        <v>51</v>
      </c>
      <c r="AB22" t="s">
        <v>66</v>
      </c>
      <c r="AC22" t="s">
        <v>66</v>
      </c>
      <c r="AD22" t="s">
        <v>212</v>
      </c>
      <c r="AE22" t="s">
        <v>55</v>
      </c>
      <c r="AF22" t="s">
        <v>49</v>
      </c>
      <c r="AG22">
        <v>241164</v>
      </c>
      <c r="AH22" s="1" t="s">
        <v>213</v>
      </c>
      <c r="AI22" t="s">
        <v>214</v>
      </c>
    </row>
    <row r="23" spans="1:35" x14ac:dyDescent="0.25">
      <c r="A23" t="s">
        <v>32</v>
      </c>
      <c r="B23" t="s">
        <v>32</v>
      </c>
      <c r="C23" t="s">
        <v>33</v>
      </c>
      <c r="D23" t="s">
        <v>34</v>
      </c>
      <c r="E23" t="s">
        <v>215</v>
      </c>
      <c r="F23" t="s">
        <v>216</v>
      </c>
      <c r="G23" s="3" t="s">
        <v>37</v>
      </c>
      <c r="H23" s="3" t="str">
        <f t="shared" si="0"/>
        <v>K</v>
      </c>
      <c r="I23" s="3" t="str">
        <f t="shared" si="1"/>
        <v>2</v>
      </c>
      <c r="J23" s="3" t="str">
        <f t="shared" si="2"/>
        <v>K/2</v>
      </c>
      <c r="K23" t="s">
        <v>38</v>
      </c>
      <c r="L23" t="s">
        <v>39</v>
      </c>
      <c r="M23" t="s">
        <v>40</v>
      </c>
      <c r="N23" t="s">
        <v>217</v>
      </c>
      <c r="O23" t="s">
        <v>42</v>
      </c>
      <c r="P23" t="s">
        <v>43</v>
      </c>
      <c r="Q23" s="3" t="s">
        <v>218</v>
      </c>
      <c r="R23" t="s">
        <v>216</v>
      </c>
      <c r="S23" t="s">
        <v>45</v>
      </c>
      <c r="T23" t="s">
        <v>46</v>
      </c>
      <c r="U23" t="s">
        <v>82</v>
      </c>
      <c r="V23" t="s">
        <v>48</v>
      </c>
      <c r="W23" t="s">
        <v>49</v>
      </c>
      <c r="X23" t="s">
        <v>49</v>
      </c>
      <c r="Y23" t="s">
        <v>49</v>
      </c>
      <c r="Z23" t="s">
        <v>50</v>
      </c>
      <c r="AA23" t="s">
        <v>51</v>
      </c>
      <c r="AB23" t="s">
        <v>52</v>
      </c>
      <c r="AC23" t="s">
        <v>53</v>
      </c>
      <c r="AD23" t="s">
        <v>54</v>
      </c>
      <c r="AE23" t="s">
        <v>55</v>
      </c>
      <c r="AF23" t="s">
        <v>49</v>
      </c>
      <c r="AG23">
        <v>0</v>
      </c>
      <c r="AH23" s="1" t="s">
        <v>219</v>
      </c>
      <c r="AI23" t="s">
        <v>220</v>
      </c>
    </row>
    <row r="24" spans="1:35" x14ac:dyDescent="0.25">
      <c r="A24" t="s">
        <v>32</v>
      </c>
      <c r="B24" t="s">
        <v>32</v>
      </c>
      <c r="C24" t="s">
        <v>33</v>
      </c>
      <c r="D24" t="s">
        <v>34</v>
      </c>
      <c r="E24" t="s">
        <v>221</v>
      </c>
      <c r="F24" t="s">
        <v>222</v>
      </c>
      <c r="G24" s="3" t="s">
        <v>37</v>
      </c>
      <c r="H24" s="3" t="str">
        <f t="shared" si="0"/>
        <v>TK</v>
      </c>
      <c r="I24" s="3" t="str">
        <f t="shared" si="1"/>
        <v>0</v>
      </c>
      <c r="J24" s="3" t="str">
        <f t="shared" si="2"/>
        <v>TK/0</v>
      </c>
      <c r="K24" t="s">
        <v>98</v>
      </c>
      <c r="L24" t="s">
        <v>99</v>
      </c>
      <c r="M24" t="s">
        <v>89</v>
      </c>
      <c r="N24" t="s">
        <v>223</v>
      </c>
      <c r="O24" t="s">
        <v>42</v>
      </c>
      <c r="P24" t="s">
        <v>43</v>
      </c>
      <c r="Q24" s="3" t="s">
        <v>224</v>
      </c>
      <c r="R24" t="s">
        <v>222</v>
      </c>
      <c r="S24" t="s">
        <v>45</v>
      </c>
      <c r="T24" t="s">
        <v>225</v>
      </c>
      <c r="U24" t="s">
        <v>47</v>
      </c>
      <c r="V24" t="s">
        <v>48</v>
      </c>
      <c r="W24" t="s">
        <v>49</v>
      </c>
      <c r="X24" t="s">
        <v>49</v>
      </c>
      <c r="Y24" t="s">
        <v>49</v>
      </c>
      <c r="Z24" t="s">
        <v>50</v>
      </c>
      <c r="AA24" t="s">
        <v>51</v>
      </c>
      <c r="AB24" t="s">
        <v>52</v>
      </c>
      <c r="AC24" t="s">
        <v>53</v>
      </c>
      <c r="AD24" t="s">
        <v>93</v>
      </c>
      <c r="AE24" t="s">
        <v>55</v>
      </c>
      <c r="AF24" t="s">
        <v>49</v>
      </c>
      <c r="AG24">
        <v>0</v>
      </c>
      <c r="AH24" s="1" t="s">
        <v>226</v>
      </c>
      <c r="AI24" t="s">
        <v>227</v>
      </c>
    </row>
    <row r="25" spans="1:35" x14ac:dyDescent="0.25">
      <c r="A25" t="s">
        <v>32</v>
      </c>
      <c r="B25" t="s">
        <v>32</v>
      </c>
      <c r="C25" t="s">
        <v>33</v>
      </c>
      <c r="D25" t="s">
        <v>34</v>
      </c>
      <c r="E25" t="s">
        <v>228</v>
      </c>
      <c r="F25" t="s">
        <v>229</v>
      </c>
      <c r="G25" s="3" t="s">
        <v>37</v>
      </c>
      <c r="H25" s="3" t="str">
        <f t="shared" si="0"/>
        <v>K</v>
      </c>
      <c r="I25" s="3" t="str">
        <f t="shared" si="1"/>
        <v>2</v>
      </c>
      <c r="J25" s="3" t="str">
        <f t="shared" si="2"/>
        <v>K/2</v>
      </c>
      <c r="K25" t="s">
        <v>107</v>
      </c>
      <c r="L25" t="s">
        <v>108</v>
      </c>
      <c r="M25" t="s">
        <v>109</v>
      </c>
      <c r="N25" t="s">
        <v>230</v>
      </c>
      <c r="O25" t="s">
        <v>42</v>
      </c>
      <c r="P25" t="s">
        <v>43</v>
      </c>
      <c r="Q25" s="3" t="s">
        <v>231</v>
      </c>
      <c r="R25" t="s">
        <v>232</v>
      </c>
      <c r="S25" t="s">
        <v>45</v>
      </c>
      <c r="T25" t="s">
        <v>233</v>
      </c>
      <c r="U25" t="s">
        <v>82</v>
      </c>
      <c r="V25" t="s">
        <v>48</v>
      </c>
      <c r="W25" t="s">
        <v>49</v>
      </c>
      <c r="X25" t="s">
        <v>49</v>
      </c>
      <c r="Y25" t="s">
        <v>49</v>
      </c>
      <c r="Z25" t="s">
        <v>50</v>
      </c>
      <c r="AA25" t="s">
        <v>51</v>
      </c>
      <c r="AB25" t="s">
        <v>66</v>
      </c>
      <c r="AC25" t="s">
        <v>66</v>
      </c>
      <c r="AD25" t="s">
        <v>114</v>
      </c>
      <c r="AE25" t="s">
        <v>55</v>
      </c>
      <c r="AF25" t="s">
        <v>49</v>
      </c>
      <c r="AG25">
        <v>124027</v>
      </c>
      <c r="AH25" s="1" t="s">
        <v>234</v>
      </c>
      <c r="AI25" t="s">
        <v>235</v>
      </c>
    </row>
    <row r="26" spans="1:35" x14ac:dyDescent="0.25">
      <c r="A26" t="s">
        <v>32</v>
      </c>
      <c r="B26" t="s">
        <v>32</v>
      </c>
      <c r="C26" t="s">
        <v>33</v>
      </c>
      <c r="D26" t="s">
        <v>34</v>
      </c>
      <c r="E26" t="s">
        <v>236</v>
      </c>
      <c r="F26" t="s">
        <v>237</v>
      </c>
      <c r="G26" s="3" t="s">
        <v>37</v>
      </c>
      <c r="H26" s="3" t="str">
        <f t="shared" si="0"/>
        <v>K</v>
      </c>
      <c r="I26" s="3" t="str">
        <f t="shared" si="1"/>
        <v>2</v>
      </c>
      <c r="J26" s="3" t="str">
        <f t="shared" si="2"/>
        <v>K/2</v>
      </c>
      <c r="K26" t="s">
        <v>87</v>
      </c>
      <c r="L26" t="s">
        <v>88</v>
      </c>
      <c r="M26" t="s">
        <v>89</v>
      </c>
      <c r="N26" t="s">
        <v>238</v>
      </c>
      <c r="O26" t="s">
        <v>42</v>
      </c>
      <c r="P26" t="s">
        <v>43</v>
      </c>
      <c r="Q26" s="3" t="s">
        <v>239</v>
      </c>
      <c r="R26" t="s">
        <v>237</v>
      </c>
      <c r="S26" t="s">
        <v>45</v>
      </c>
      <c r="T26" t="s">
        <v>166</v>
      </c>
      <c r="U26" t="s">
        <v>82</v>
      </c>
      <c r="V26" t="s">
        <v>48</v>
      </c>
      <c r="W26" t="s">
        <v>49</v>
      </c>
      <c r="X26" t="s">
        <v>49</v>
      </c>
      <c r="Y26" t="s">
        <v>49</v>
      </c>
      <c r="Z26" t="s">
        <v>50</v>
      </c>
      <c r="AA26" t="s">
        <v>51</v>
      </c>
      <c r="AB26" t="s">
        <v>66</v>
      </c>
      <c r="AC26" t="s">
        <v>66</v>
      </c>
      <c r="AD26" t="s">
        <v>93</v>
      </c>
      <c r="AE26" t="s">
        <v>55</v>
      </c>
      <c r="AF26" t="s">
        <v>49</v>
      </c>
      <c r="AG26">
        <v>0</v>
      </c>
      <c r="AH26" s="1" t="s">
        <v>240</v>
      </c>
      <c r="AI26" t="s">
        <v>241</v>
      </c>
    </row>
    <row r="27" spans="1:35" x14ac:dyDescent="0.25">
      <c r="A27" t="s">
        <v>32</v>
      </c>
      <c r="B27" t="s">
        <v>32</v>
      </c>
      <c r="C27" t="s">
        <v>33</v>
      </c>
      <c r="D27" t="s">
        <v>34</v>
      </c>
      <c r="E27" t="s">
        <v>242</v>
      </c>
      <c r="F27" t="s">
        <v>243</v>
      </c>
      <c r="G27" s="3" t="s">
        <v>37</v>
      </c>
      <c r="H27" s="3" t="str">
        <f t="shared" si="0"/>
        <v>K</v>
      </c>
      <c r="I27" s="3" t="str">
        <f t="shared" si="1"/>
        <v>1</v>
      </c>
      <c r="J27" s="3" t="str">
        <f t="shared" si="2"/>
        <v>K/1</v>
      </c>
      <c r="K27" t="s">
        <v>38</v>
      </c>
      <c r="L27" t="s">
        <v>39</v>
      </c>
      <c r="M27" t="s">
        <v>40</v>
      </c>
      <c r="N27" t="s">
        <v>244</v>
      </c>
      <c r="O27" t="s">
        <v>42</v>
      </c>
      <c r="P27" t="s">
        <v>43</v>
      </c>
      <c r="Q27" s="3" t="s">
        <v>245</v>
      </c>
      <c r="R27" t="s">
        <v>243</v>
      </c>
      <c r="S27" t="s">
        <v>45</v>
      </c>
      <c r="T27" t="s">
        <v>46</v>
      </c>
      <c r="U27" t="s">
        <v>73</v>
      </c>
      <c r="V27" t="s">
        <v>48</v>
      </c>
      <c r="W27" t="s">
        <v>49</v>
      </c>
      <c r="X27" t="s">
        <v>49</v>
      </c>
      <c r="Y27" t="s">
        <v>49</v>
      </c>
      <c r="Z27" t="s">
        <v>50</v>
      </c>
      <c r="AA27" t="s">
        <v>51</v>
      </c>
      <c r="AB27" t="s">
        <v>52</v>
      </c>
      <c r="AC27" t="s">
        <v>53</v>
      </c>
      <c r="AD27" t="s">
        <v>54</v>
      </c>
      <c r="AE27" t="s">
        <v>55</v>
      </c>
      <c r="AF27" t="s">
        <v>49</v>
      </c>
      <c r="AG27">
        <v>62014</v>
      </c>
      <c r="AH27" s="1" t="s">
        <v>246</v>
      </c>
      <c r="AI27" t="s">
        <v>247</v>
      </c>
    </row>
    <row r="28" spans="1:35" x14ac:dyDescent="0.25">
      <c r="A28" t="s">
        <v>32</v>
      </c>
      <c r="B28" t="s">
        <v>32</v>
      </c>
      <c r="C28" t="s">
        <v>33</v>
      </c>
      <c r="D28" t="s">
        <v>34</v>
      </c>
      <c r="E28" t="s">
        <v>248</v>
      </c>
      <c r="F28" t="s">
        <v>249</v>
      </c>
      <c r="G28" s="3" t="s">
        <v>37</v>
      </c>
      <c r="H28" s="3" t="str">
        <f t="shared" si="0"/>
        <v>TK</v>
      </c>
      <c r="I28" s="3" t="str">
        <f t="shared" si="1"/>
        <v>0</v>
      </c>
      <c r="J28" s="3" t="str">
        <f t="shared" si="2"/>
        <v>TK/0</v>
      </c>
      <c r="K28" t="s">
        <v>38</v>
      </c>
      <c r="L28" t="s">
        <v>39</v>
      </c>
      <c r="M28" t="s">
        <v>40</v>
      </c>
      <c r="N28" t="s">
        <v>250</v>
      </c>
      <c r="O28" t="s">
        <v>42</v>
      </c>
      <c r="P28" t="s">
        <v>43</v>
      </c>
      <c r="Q28" s="3" t="s">
        <v>251</v>
      </c>
      <c r="R28" t="s">
        <v>249</v>
      </c>
      <c r="S28" t="s">
        <v>45</v>
      </c>
      <c r="T28" t="s">
        <v>81</v>
      </c>
      <c r="U28" t="s">
        <v>47</v>
      </c>
      <c r="V28" t="s">
        <v>48</v>
      </c>
      <c r="W28" t="s">
        <v>49</v>
      </c>
      <c r="X28" t="s">
        <v>49</v>
      </c>
      <c r="Y28" t="s">
        <v>49</v>
      </c>
      <c r="Z28" t="s">
        <v>50</v>
      </c>
      <c r="AA28" t="s">
        <v>51</v>
      </c>
      <c r="AB28" t="s">
        <v>66</v>
      </c>
      <c r="AC28" t="s">
        <v>66</v>
      </c>
      <c r="AD28" t="s">
        <v>54</v>
      </c>
      <c r="AE28" t="s">
        <v>55</v>
      </c>
      <c r="AF28" t="s">
        <v>49</v>
      </c>
      <c r="AG28">
        <v>0</v>
      </c>
      <c r="AH28" s="1" t="s">
        <v>252</v>
      </c>
      <c r="AI28" t="s">
        <v>253</v>
      </c>
    </row>
    <row r="29" spans="1:35" x14ac:dyDescent="0.25">
      <c r="A29" t="s">
        <v>32</v>
      </c>
      <c r="B29" t="s">
        <v>32</v>
      </c>
      <c r="C29" t="s">
        <v>33</v>
      </c>
      <c r="D29" t="s">
        <v>34</v>
      </c>
      <c r="E29" t="s">
        <v>254</v>
      </c>
      <c r="F29" t="s">
        <v>255</v>
      </c>
      <c r="G29" s="3" t="s">
        <v>180</v>
      </c>
      <c r="H29" s="3" t="str">
        <f t="shared" si="0"/>
        <v>TK</v>
      </c>
      <c r="I29" s="3" t="str">
        <f t="shared" si="1"/>
        <v>0</v>
      </c>
      <c r="J29" s="3" t="str">
        <f t="shared" si="2"/>
        <v>TK/0</v>
      </c>
      <c r="K29" t="s">
        <v>38</v>
      </c>
      <c r="L29" t="s">
        <v>39</v>
      </c>
      <c r="M29" t="s">
        <v>40</v>
      </c>
      <c r="N29" t="s">
        <v>256</v>
      </c>
      <c r="O29" t="s">
        <v>42</v>
      </c>
      <c r="P29" t="s">
        <v>43</v>
      </c>
      <c r="Q29" s="3" t="s">
        <v>257</v>
      </c>
      <c r="R29" t="s">
        <v>255</v>
      </c>
      <c r="S29" t="s">
        <v>45</v>
      </c>
      <c r="T29" t="s">
        <v>46</v>
      </c>
      <c r="U29" t="s">
        <v>47</v>
      </c>
      <c r="V29" t="s">
        <v>48</v>
      </c>
      <c r="W29" t="s">
        <v>49</v>
      </c>
      <c r="X29" t="s">
        <v>49</v>
      </c>
      <c r="Y29" t="s">
        <v>49</v>
      </c>
      <c r="Z29" t="s">
        <v>50</v>
      </c>
      <c r="AA29" t="s">
        <v>51</v>
      </c>
      <c r="AB29" t="s">
        <v>52</v>
      </c>
      <c r="AC29" t="s">
        <v>53</v>
      </c>
      <c r="AD29" t="s">
        <v>54</v>
      </c>
      <c r="AE29" t="s">
        <v>55</v>
      </c>
      <c r="AF29" t="s">
        <v>49</v>
      </c>
      <c r="AG29">
        <v>0</v>
      </c>
      <c r="AH29" s="1" t="s">
        <v>258</v>
      </c>
      <c r="AI29" t="s">
        <v>259</v>
      </c>
    </row>
    <row r="30" spans="1:35" x14ac:dyDescent="0.25">
      <c r="A30" t="s">
        <v>32</v>
      </c>
      <c r="B30" t="s">
        <v>32</v>
      </c>
      <c r="C30" t="s">
        <v>33</v>
      </c>
      <c r="D30" t="s">
        <v>34</v>
      </c>
      <c r="E30" t="s">
        <v>260</v>
      </c>
      <c r="F30" t="s">
        <v>261</v>
      </c>
      <c r="G30" s="3" t="s">
        <v>37</v>
      </c>
      <c r="H30" s="3" t="str">
        <f t="shared" si="0"/>
        <v>K</v>
      </c>
      <c r="I30" s="3" t="str">
        <f t="shared" si="1"/>
        <v>1</v>
      </c>
      <c r="J30" s="3" t="str">
        <f t="shared" si="2"/>
        <v>K/1</v>
      </c>
      <c r="K30" t="s">
        <v>87</v>
      </c>
      <c r="L30" t="s">
        <v>88</v>
      </c>
      <c r="M30" t="s">
        <v>89</v>
      </c>
      <c r="N30" t="s">
        <v>262</v>
      </c>
      <c r="O30" t="s">
        <v>42</v>
      </c>
      <c r="P30" t="s">
        <v>43</v>
      </c>
      <c r="Q30" s="3" t="s">
        <v>263</v>
      </c>
      <c r="R30" t="s">
        <v>261</v>
      </c>
      <c r="S30" t="s">
        <v>45</v>
      </c>
      <c r="T30" t="s">
        <v>92</v>
      </c>
      <c r="U30" t="s">
        <v>73</v>
      </c>
      <c r="V30" t="s">
        <v>48</v>
      </c>
      <c r="W30" t="s">
        <v>49</v>
      </c>
      <c r="X30" t="s">
        <v>49</v>
      </c>
      <c r="Y30" t="s">
        <v>49</v>
      </c>
      <c r="Z30" t="s">
        <v>50</v>
      </c>
      <c r="AA30" t="s">
        <v>51</v>
      </c>
      <c r="AB30" t="s">
        <v>66</v>
      </c>
      <c r="AC30" t="s">
        <v>66</v>
      </c>
      <c r="AD30" t="s">
        <v>93</v>
      </c>
      <c r="AE30" t="s">
        <v>55</v>
      </c>
      <c r="AF30" t="s">
        <v>49</v>
      </c>
      <c r="AG30">
        <v>0</v>
      </c>
      <c r="AH30" s="1" t="s">
        <v>264</v>
      </c>
      <c r="AI30" t="s">
        <v>265</v>
      </c>
    </row>
    <row r="31" spans="1:35" x14ac:dyDescent="0.25">
      <c r="A31" t="s">
        <v>32</v>
      </c>
      <c r="B31" t="s">
        <v>32</v>
      </c>
      <c r="C31" t="s">
        <v>33</v>
      </c>
      <c r="D31" t="s">
        <v>34</v>
      </c>
      <c r="E31" t="s">
        <v>266</v>
      </c>
      <c r="F31" t="s">
        <v>267</v>
      </c>
      <c r="G31" s="3" t="s">
        <v>37</v>
      </c>
      <c r="H31" s="3" t="str">
        <f t="shared" si="0"/>
        <v>K</v>
      </c>
      <c r="I31" s="3" t="str">
        <f t="shared" si="1"/>
        <v>0</v>
      </c>
      <c r="J31" s="3" t="str">
        <f t="shared" si="2"/>
        <v>K/0</v>
      </c>
      <c r="K31" t="s">
        <v>38</v>
      </c>
      <c r="L31" t="s">
        <v>39</v>
      </c>
      <c r="M31" t="s">
        <v>40</v>
      </c>
      <c r="N31" t="s">
        <v>268</v>
      </c>
      <c r="O31" t="s">
        <v>42</v>
      </c>
      <c r="P31" t="s">
        <v>43</v>
      </c>
      <c r="Q31" s="3" t="s">
        <v>269</v>
      </c>
      <c r="R31" t="s">
        <v>267</v>
      </c>
      <c r="S31" t="s">
        <v>45</v>
      </c>
      <c r="T31" t="s">
        <v>46</v>
      </c>
      <c r="U31" t="s">
        <v>148</v>
      </c>
      <c r="V31" t="s">
        <v>48</v>
      </c>
      <c r="W31" t="s">
        <v>49</v>
      </c>
      <c r="X31" t="s">
        <v>49</v>
      </c>
      <c r="Y31" t="s">
        <v>49</v>
      </c>
      <c r="Z31" t="s">
        <v>50</v>
      </c>
      <c r="AA31" t="s">
        <v>51</v>
      </c>
      <c r="AB31" t="s">
        <v>52</v>
      </c>
      <c r="AC31" t="s">
        <v>53</v>
      </c>
      <c r="AD31" t="s">
        <v>54</v>
      </c>
      <c r="AE31" t="s">
        <v>55</v>
      </c>
      <c r="AF31" t="s">
        <v>49</v>
      </c>
      <c r="AG31">
        <v>0</v>
      </c>
      <c r="AH31" s="1" t="s">
        <v>270</v>
      </c>
      <c r="AI31" t="s">
        <v>271</v>
      </c>
    </row>
    <row r="32" spans="1:35" x14ac:dyDescent="0.25">
      <c r="A32" t="s">
        <v>32</v>
      </c>
      <c r="B32" t="s">
        <v>32</v>
      </c>
      <c r="C32" t="s">
        <v>32</v>
      </c>
      <c r="D32" t="s">
        <v>34</v>
      </c>
      <c r="E32" t="s">
        <v>272</v>
      </c>
      <c r="F32" t="s">
        <v>273</v>
      </c>
      <c r="G32" s="3" t="s">
        <v>37</v>
      </c>
      <c r="H32" s="3" t="str">
        <f t="shared" si="0"/>
        <v>TK</v>
      </c>
      <c r="I32" s="3" t="str">
        <f t="shared" si="1"/>
        <v>2</v>
      </c>
      <c r="J32" s="3" t="str">
        <f t="shared" si="2"/>
        <v>TK/2</v>
      </c>
      <c r="K32" t="s">
        <v>274</v>
      </c>
      <c r="L32" t="s">
        <v>275</v>
      </c>
      <c r="M32" t="s">
        <v>89</v>
      </c>
      <c r="N32" t="s">
        <v>276</v>
      </c>
      <c r="O32" t="s">
        <v>42</v>
      </c>
      <c r="P32" t="s">
        <v>43</v>
      </c>
      <c r="Q32" s="3" t="s">
        <v>277</v>
      </c>
      <c r="R32" t="s">
        <v>273</v>
      </c>
      <c r="S32" t="s">
        <v>45</v>
      </c>
      <c r="T32" t="s">
        <v>278</v>
      </c>
      <c r="U32" t="s">
        <v>279</v>
      </c>
      <c r="V32" t="s">
        <v>48</v>
      </c>
      <c r="W32" t="s">
        <v>49</v>
      </c>
      <c r="X32" t="s">
        <v>49</v>
      </c>
      <c r="Y32" t="s">
        <v>49</v>
      </c>
      <c r="Z32" t="s">
        <v>50</v>
      </c>
      <c r="AA32" t="s">
        <v>51</v>
      </c>
      <c r="AB32" t="s">
        <v>52</v>
      </c>
      <c r="AC32" t="s">
        <v>53</v>
      </c>
      <c r="AD32" t="s">
        <v>93</v>
      </c>
      <c r="AE32" t="s">
        <v>55</v>
      </c>
      <c r="AF32" t="s">
        <v>49</v>
      </c>
      <c r="AG32">
        <v>0</v>
      </c>
      <c r="AH32" s="1" t="s">
        <v>280</v>
      </c>
      <c r="AI32" t="s">
        <v>281</v>
      </c>
    </row>
    <row r="33" spans="1:35" x14ac:dyDescent="0.25">
      <c r="A33" t="s">
        <v>32</v>
      </c>
      <c r="B33" t="s">
        <v>32</v>
      </c>
      <c r="C33" t="s">
        <v>33</v>
      </c>
      <c r="D33" t="s">
        <v>34</v>
      </c>
      <c r="E33" t="s">
        <v>282</v>
      </c>
      <c r="F33" t="s">
        <v>283</v>
      </c>
      <c r="G33" s="3" t="s">
        <v>37</v>
      </c>
      <c r="H33" s="3" t="str">
        <f t="shared" si="0"/>
        <v>K</v>
      </c>
      <c r="I33" s="3" t="str">
        <f t="shared" si="1"/>
        <v>2</v>
      </c>
      <c r="J33" s="3" t="str">
        <f t="shared" si="2"/>
        <v>K/2</v>
      </c>
      <c r="K33" t="s">
        <v>205</v>
      </c>
      <c r="L33" t="s">
        <v>206</v>
      </c>
      <c r="M33" t="s">
        <v>89</v>
      </c>
      <c r="N33" t="s">
        <v>284</v>
      </c>
      <c r="O33" t="s">
        <v>42</v>
      </c>
      <c r="P33" t="s">
        <v>43</v>
      </c>
      <c r="Q33" s="3" t="s">
        <v>285</v>
      </c>
      <c r="R33" t="s">
        <v>283</v>
      </c>
      <c r="S33" t="s">
        <v>45</v>
      </c>
      <c r="T33" t="s">
        <v>286</v>
      </c>
      <c r="U33" t="s">
        <v>82</v>
      </c>
      <c r="V33" t="s">
        <v>48</v>
      </c>
      <c r="W33" t="s">
        <v>49</v>
      </c>
      <c r="X33" t="s">
        <v>49</v>
      </c>
      <c r="Y33" t="s">
        <v>49</v>
      </c>
      <c r="Z33" t="s">
        <v>50</v>
      </c>
      <c r="AA33" t="s">
        <v>51</v>
      </c>
      <c r="AB33" t="s">
        <v>66</v>
      </c>
      <c r="AC33" t="s">
        <v>66</v>
      </c>
      <c r="AD33" t="s">
        <v>93</v>
      </c>
      <c r="AE33" t="s">
        <v>55</v>
      </c>
      <c r="AF33" t="s">
        <v>49</v>
      </c>
      <c r="AG33">
        <v>0</v>
      </c>
      <c r="AH33" s="1" t="s">
        <v>287</v>
      </c>
      <c r="AI33" t="s">
        <v>288</v>
      </c>
    </row>
    <row r="34" spans="1:35" x14ac:dyDescent="0.25">
      <c r="A34" t="s">
        <v>32</v>
      </c>
      <c r="B34" t="s">
        <v>32</v>
      </c>
      <c r="C34" t="s">
        <v>33</v>
      </c>
      <c r="D34" t="s">
        <v>34</v>
      </c>
      <c r="E34" t="s">
        <v>289</v>
      </c>
      <c r="F34" t="s">
        <v>290</v>
      </c>
      <c r="G34" s="3" t="s">
        <v>37</v>
      </c>
      <c r="H34" s="3" t="str">
        <f t="shared" si="0"/>
        <v>K</v>
      </c>
      <c r="I34" s="3" t="str">
        <f t="shared" si="1"/>
        <v>0</v>
      </c>
      <c r="J34" s="3" t="str">
        <f t="shared" si="2"/>
        <v>K/0</v>
      </c>
      <c r="K34" t="s">
        <v>60</v>
      </c>
      <c r="L34" t="s">
        <v>61</v>
      </c>
      <c r="M34" t="s">
        <v>40</v>
      </c>
      <c r="N34" t="s">
        <v>291</v>
      </c>
      <c r="O34" t="s">
        <v>42</v>
      </c>
      <c r="P34" t="s">
        <v>43</v>
      </c>
      <c r="Q34" s="3" t="s">
        <v>292</v>
      </c>
      <c r="R34" t="s">
        <v>290</v>
      </c>
      <c r="S34" t="s">
        <v>45</v>
      </c>
      <c r="T34" t="s">
        <v>65</v>
      </c>
      <c r="U34" t="s">
        <v>148</v>
      </c>
      <c r="V34" t="s">
        <v>48</v>
      </c>
      <c r="W34" t="s">
        <v>49</v>
      </c>
      <c r="X34" t="s">
        <v>49</v>
      </c>
      <c r="Y34" t="s">
        <v>49</v>
      </c>
      <c r="Z34" t="s">
        <v>50</v>
      </c>
      <c r="AA34" t="s">
        <v>51</v>
      </c>
      <c r="AB34" t="s">
        <v>66</v>
      </c>
      <c r="AC34" t="s">
        <v>66</v>
      </c>
      <c r="AD34" t="s">
        <v>54</v>
      </c>
      <c r="AE34" t="s">
        <v>55</v>
      </c>
      <c r="AF34" t="s">
        <v>49</v>
      </c>
      <c r="AG34">
        <v>124027</v>
      </c>
      <c r="AH34" s="1" t="s">
        <v>293</v>
      </c>
      <c r="AI34" t="s">
        <v>294</v>
      </c>
    </row>
    <row r="35" spans="1:35" x14ac:dyDescent="0.25">
      <c r="A35" t="s">
        <v>32</v>
      </c>
      <c r="B35" t="s">
        <v>32</v>
      </c>
      <c r="C35" t="s">
        <v>33</v>
      </c>
      <c r="D35" t="s">
        <v>34</v>
      </c>
      <c r="E35" t="s">
        <v>295</v>
      </c>
      <c r="F35" t="s">
        <v>296</v>
      </c>
      <c r="G35" s="3" t="s">
        <v>37</v>
      </c>
      <c r="H35" s="3" t="str">
        <f t="shared" si="0"/>
        <v>K</v>
      </c>
      <c r="I35" s="3" t="str">
        <f t="shared" si="1"/>
        <v>2</v>
      </c>
      <c r="J35" s="3" t="str">
        <f t="shared" si="2"/>
        <v>K/2</v>
      </c>
      <c r="K35" t="s">
        <v>87</v>
      </c>
      <c r="L35" t="s">
        <v>88</v>
      </c>
      <c r="M35" t="s">
        <v>89</v>
      </c>
      <c r="N35" t="s">
        <v>297</v>
      </c>
      <c r="O35" t="s">
        <v>42</v>
      </c>
      <c r="P35" t="s">
        <v>43</v>
      </c>
      <c r="Q35" s="3" t="s">
        <v>298</v>
      </c>
      <c r="R35" t="s">
        <v>296</v>
      </c>
      <c r="S35" t="s">
        <v>45</v>
      </c>
      <c r="T35" t="s">
        <v>92</v>
      </c>
      <c r="U35" t="s">
        <v>82</v>
      </c>
      <c r="V35" t="s">
        <v>48</v>
      </c>
      <c r="W35" t="s">
        <v>49</v>
      </c>
      <c r="X35" t="s">
        <v>49</v>
      </c>
      <c r="Y35" t="s">
        <v>49</v>
      </c>
      <c r="Z35" t="s">
        <v>50</v>
      </c>
      <c r="AA35" t="s">
        <v>51</v>
      </c>
      <c r="AB35" t="s">
        <v>66</v>
      </c>
      <c r="AC35" t="s">
        <v>66</v>
      </c>
      <c r="AD35" t="s">
        <v>93</v>
      </c>
      <c r="AE35" t="s">
        <v>55</v>
      </c>
      <c r="AF35" t="s">
        <v>49</v>
      </c>
      <c r="AG35">
        <v>0</v>
      </c>
      <c r="AH35" s="1" t="s">
        <v>299</v>
      </c>
      <c r="AI35" t="s">
        <v>300</v>
      </c>
    </row>
    <row r="36" spans="1:35" x14ac:dyDescent="0.25">
      <c r="A36" t="s">
        <v>32</v>
      </c>
      <c r="B36" t="s">
        <v>32</v>
      </c>
      <c r="C36" t="s">
        <v>33</v>
      </c>
      <c r="D36" t="s">
        <v>34</v>
      </c>
      <c r="E36" t="s">
        <v>301</v>
      </c>
      <c r="F36" t="s">
        <v>302</v>
      </c>
      <c r="G36" s="3" t="s">
        <v>37</v>
      </c>
      <c r="H36" s="3" t="str">
        <f t="shared" si="0"/>
        <v>K</v>
      </c>
      <c r="I36" s="3" t="str">
        <f t="shared" si="1"/>
        <v>2</v>
      </c>
      <c r="J36" s="3" t="str">
        <f t="shared" si="2"/>
        <v>K/2</v>
      </c>
      <c r="K36" t="s">
        <v>303</v>
      </c>
      <c r="L36" t="s">
        <v>304</v>
      </c>
      <c r="M36" t="s">
        <v>305</v>
      </c>
      <c r="N36" t="s">
        <v>306</v>
      </c>
      <c r="O36" t="s">
        <v>42</v>
      </c>
      <c r="P36" t="s">
        <v>43</v>
      </c>
      <c r="Q36" s="3" t="s">
        <v>307</v>
      </c>
      <c r="R36" t="s">
        <v>308</v>
      </c>
      <c r="S36" t="s">
        <v>45</v>
      </c>
      <c r="T36" t="s">
        <v>309</v>
      </c>
      <c r="U36" t="s">
        <v>82</v>
      </c>
      <c r="V36" t="s">
        <v>48</v>
      </c>
      <c r="W36" t="s">
        <v>49</v>
      </c>
      <c r="X36" t="s">
        <v>49</v>
      </c>
      <c r="Y36" t="s">
        <v>49</v>
      </c>
      <c r="Z36" t="s">
        <v>50</v>
      </c>
      <c r="AA36" t="s">
        <v>51</v>
      </c>
      <c r="AB36" t="s">
        <v>66</v>
      </c>
      <c r="AC36" t="s">
        <v>66</v>
      </c>
      <c r="AD36" t="s">
        <v>310</v>
      </c>
      <c r="AE36" t="s">
        <v>55</v>
      </c>
      <c r="AF36" t="s">
        <v>49</v>
      </c>
      <c r="AG36">
        <v>568458</v>
      </c>
      <c r="AH36" s="1" t="s">
        <v>311</v>
      </c>
      <c r="AI36" t="s">
        <v>312</v>
      </c>
    </row>
    <row r="37" spans="1:35" x14ac:dyDescent="0.25">
      <c r="A37" t="s">
        <v>32</v>
      </c>
      <c r="B37" t="s">
        <v>32</v>
      </c>
      <c r="C37" t="s">
        <v>33</v>
      </c>
      <c r="D37" t="s">
        <v>34</v>
      </c>
      <c r="E37" t="s">
        <v>313</v>
      </c>
      <c r="F37" t="s">
        <v>314</v>
      </c>
      <c r="G37" s="3" t="s">
        <v>180</v>
      </c>
      <c r="H37" s="3" t="str">
        <f t="shared" si="0"/>
        <v>TK</v>
      </c>
      <c r="I37" s="3" t="str">
        <f t="shared" si="1"/>
        <v>0</v>
      </c>
      <c r="J37" s="3" t="str">
        <f t="shared" si="2"/>
        <v>TK/0</v>
      </c>
      <c r="K37" t="s">
        <v>107</v>
      </c>
      <c r="L37" t="s">
        <v>108</v>
      </c>
      <c r="M37" t="s">
        <v>207</v>
      </c>
      <c r="N37" t="s">
        <v>315</v>
      </c>
      <c r="O37" t="s">
        <v>42</v>
      </c>
      <c r="P37" t="s">
        <v>43</v>
      </c>
      <c r="Q37" s="3" t="s">
        <v>316</v>
      </c>
      <c r="R37" t="s">
        <v>317</v>
      </c>
      <c r="S37" t="s">
        <v>45</v>
      </c>
      <c r="T37" t="s">
        <v>318</v>
      </c>
      <c r="U37" t="s">
        <v>47</v>
      </c>
      <c r="V37" t="s">
        <v>48</v>
      </c>
      <c r="W37" t="s">
        <v>49</v>
      </c>
      <c r="X37" t="s">
        <v>49</v>
      </c>
      <c r="Y37" t="s">
        <v>49</v>
      </c>
      <c r="Z37" t="s">
        <v>50</v>
      </c>
      <c r="AA37" t="s">
        <v>51</v>
      </c>
      <c r="AB37" t="s">
        <v>52</v>
      </c>
      <c r="AC37" t="s">
        <v>53</v>
      </c>
      <c r="AD37" t="s">
        <v>212</v>
      </c>
      <c r="AE37" t="s">
        <v>55</v>
      </c>
      <c r="AF37" t="s">
        <v>49</v>
      </c>
      <c r="AG37">
        <v>0</v>
      </c>
      <c r="AH37" s="1" t="s">
        <v>319</v>
      </c>
      <c r="AI37" t="s">
        <v>320</v>
      </c>
    </row>
    <row r="38" spans="1:35" x14ac:dyDescent="0.25">
      <c r="A38" t="s">
        <v>32</v>
      </c>
      <c r="B38" t="s">
        <v>32</v>
      </c>
      <c r="C38" t="s">
        <v>33</v>
      </c>
      <c r="D38" t="s">
        <v>34</v>
      </c>
      <c r="E38" t="s">
        <v>321</v>
      </c>
      <c r="F38" t="s">
        <v>322</v>
      </c>
      <c r="G38" s="3" t="s">
        <v>37</v>
      </c>
      <c r="H38" s="3" t="str">
        <f t="shared" si="0"/>
        <v>K</v>
      </c>
      <c r="I38" s="3" t="str">
        <f t="shared" si="1"/>
        <v>2</v>
      </c>
      <c r="J38" s="3" t="str">
        <f t="shared" si="2"/>
        <v>K/2</v>
      </c>
      <c r="K38" t="s">
        <v>107</v>
      </c>
      <c r="L38" t="s">
        <v>108</v>
      </c>
      <c r="M38" t="s">
        <v>109</v>
      </c>
      <c r="N38" t="s">
        <v>323</v>
      </c>
      <c r="O38" t="s">
        <v>42</v>
      </c>
      <c r="P38" t="s">
        <v>43</v>
      </c>
      <c r="Q38" s="3" t="s">
        <v>324</v>
      </c>
      <c r="R38" t="s">
        <v>325</v>
      </c>
      <c r="S38" t="s">
        <v>45</v>
      </c>
      <c r="T38" t="s">
        <v>113</v>
      </c>
      <c r="U38" t="s">
        <v>82</v>
      </c>
      <c r="V38" t="s">
        <v>48</v>
      </c>
      <c r="W38" t="s">
        <v>49</v>
      </c>
      <c r="X38" t="s">
        <v>49</v>
      </c>
      <c r="Y38" t="s">
        <v>49</v>
      </c>
      <c r="Z38" t="s">
        <v>50</v>
      </c>
      <c r="AA38" t="s">
        <v>51</v>
      </c>
      <c r="AB38" t="s">
        <v>66</v>
      </c>
      <c r="AC38" t="s">
        <v>66</v>
      </c>
      <c r="AD38" t="s">
        <v>114</v>
      </c>
      <c r="AE38" t="s">
        <v>55</v>
      </c>
      <c r="AF38" t="s">
        <v>49</v>
      </c>
      <c r="AG38">
        <v>0</v>
      </c>
      <c r="AH38" s="1" t="s">
        <v>326</v>
      </c>
      <c r="AI38" t="s">
        <v>327</v>
      </c>
    </row>
    <row r="39" spans="1:35" x14ac:dyDescent="0.25">
      <c r="A39" t="s">
        <v>32</v>
      </c>
      <c r="B39" t="s">
        <v>32</v>
      </c>
      <c r="C39" t="s">
        <v>33</v>
      </c>
      <c r="D39" t="s">
        <v>34</v>
      </c>
      <c r="E39" t="s">
        <v>328</v>
      </c>
      <c r="F39" t="s">
        <v>329</v>
      </c>
      <c r="G39" s="3" t="s">
        <v>37</v>
      </c>
      <c r="H39" s="3" t="str">
        <f t="shared" si="0"/>
        <v>K</v>
      </c>
      <c r="I39" s="3" t="str">
        <f t="shared" si="1"/>
        <v>2</v>
      </c>
      <c r="J39" s="3" t="str">
        <f t="shared" si="2"/>
        <v>K/2</v>
      </c>
      <c r="K39" t="s">
        <v>205</v>
      </c>
      <c r="L39" t="s">
        <v>206</v>
      </c>
      <c r="M39" t="s">
        <v>89</v>
      </c>
      <c r="N39" t="s">
        <v>330</v>
      </c>
      <c r="O39" t="s">
        <v>42</v>
      </c>
      <c r="P39" t="s">
        <v>43</v>
      </c>
      <c r="Q39" s="3" t="s">
        <v>331</v>
      </c>
      <c r="R39" t="s">
        <v>329</v>
      </c>
      <c r="S39" t="s">
        <v>45</v>
      </c>
      <c r="T39" t="s">
        <v>332</v>
      </c>
      <c r="U39" t="s">
        <v>82</v>
      </c>
      <c r="V39" t="s">
        <v>48</v>
      </c>
      <c r="W39" t="s">
        <v>49</v>
      </c>
      <c r="X39" t="s">
        <v>49</v>
      </c>
      <c r="Y39" t="s">
        <v>49</v>
      </c>
      <c r="Z39" t="s">
        <v>50</v>
      </c>
      <c r="AA39" t="s">
        <v>51</v>
      </c>
      <c r="AB39" t="s">
        <v>66</v>
      </c>
      <c r="AC39" t="s">
        <v>66</v>
      </c>
      <c r="AD39" t="s">
        <v>93</v>
      </c>
      <c r="AE39" t="s">
        <v>55</v>
      </c>
      <c r="AF39" t="s">
        <v>49</v>
      </c>
      <c r="AG39">
        <v>0</v>
      </c>
      <c r="AH39" s="1" t="s">
        <v>333</v>
      </c>
      <c r="AI39" t="s">
        <v>334</v>
      </c>
    </row>
    <row r="40" spans="1:35" x14ac:dyDescent="0.25">
      <c r="A40" t="s">
        <v>32</v>
      </c>
      <c r="B40" t="s">
        <v>32</v>
      </c>
      <c r="C40" t="s">
        <v>33</v>
      </c>
      <c r="D40" t="s">
        <v>34</v>
      </c>
      <c r="E40" t="s">
        <v>335</v>
      </c>
      <c r="F40" t="s">
        <v>336</v>
      </c>
      <c r="G40" s="3" t="s">
        <v>37</v>
      </c>
      <c r="H40" s="3" t="str">
        <f t="shared" si="0"/>
        <v>K</v>
      </c>
      <c r="I40" s="3" t="str">
        <f t="shared" si="1"/>
        <v>1</v>
      </c>
      <c r="J40" s="3" t="str">
        <f t="shared" si="2"/>
        <v>K/1</v>
      </c>
      <c r="K40" t="s">
        <v>274</v>
      </c>
      <c r="L40" t="s">
        <v>275</v>
      </c>
      <c r="M40" t="s">
        <v>89</v>
      </c>
      <c r="N40" t="s">
        <v>337</v>
      </c>
      <c r="O40" t="s">
        <v>42</v>
      </c>
      <c r="P40" t="s">
        <v>43</v>
      </c>
      <c r="Q40" s="3" t="s">
        <v>338</v>
      </c>
      <c r="R40" t="s">
        <v>336</v>
      </c>
      <c r="S40" t="s">
        <v>45</v>
      </c>
      <c r="T40" t="s">
        <v>278</v>
      </c>
      <c r="U40" t="s">
        <v>73</v>
      </c>
      <c r="V40" t="s">
        <v>48</v>
      </c>
      <c r="W40" t="s">
        <v>49</v>
      </c>
      <c r="X40" t="s">
        <v>49</v>
      </c>
      <c r="Y40" t="s">
        <v>49</v>
      </c>
      <c r="Z40" t="s">
        <v>50</v>
      </c>
      <c r="AA40" t="s">
        <v>51</v>
      </c>
      <c r="AB40" t="s">
        <v>52</v>
      </c>
      <c r="AC40" t="s">
        <v>53</v>
      </c>
      <c r="AD40" t="s">
        <v>93</v>
      </c>
      <c r="AE40" t="s">
        <v>55</v>
      </c>
      <c r="AF40" t="s">
        <v>49</v>
      </c>
      <c r="AG40">
        <v>62014</v>
      </c>
      <c r="AH40" s="1" t="s">
        <v>339</v>
      </c>
      <c r="AI40" t="s">
        <v>340</v>
      </c>
    </row>
    <row r="41" spans="1:35" x14ac:dyDescent="0.25">
      <c r="A41" t="s">
        <v>32</v>
      </c>
      <c r="B41" t="s">
        <v>32</v>
      </c>
      <c r="C41" t="s">
        <v>33</v>
      </c>
      <c r="D41" t="s">
        <v>34</v>
      </c>
      <c r="E41" t="s">
        <v>341</v>
      </c>
      <c r="F41" t="s">
        <v>342</v>
      </c>
      <c r="G41" s="3" t="s">
        <v>37</v>
      </c>
      <c r="H41" s="3" t="str">
        <f t="shared" si="0"/>
        <v>K</v>
      </c>
      <c r="I41" s="3" t="str">
        <f t="shared" si="1"/>
        <v>2</v>
      </c>
      <c r="J41" s="3" t="str">
        <f t="shared" si="2"/>
        <v>K/2</v>
      </c>
      <c r="K41" t="s">
        <v>205</v>
      </c>
      <c r="L41" t="s">
        <v>206</v>
      </c>
      <c r="M41" t="s">
        <v>89</v>
      </c>
      <c r="N41" t="s">
        <v>343</v>
      </c>
      <c r="O41" t="s">
        <v>42</v>
      </c>
      <c r="P41" t="s">
        <v>43</v>
      </c>
      <c r="Q41" s="3" t="s">
        <v>344</v>
      </c>
      <c r="R41" t="s">
        <v>342</v>
      </c>
      <c r="S41" t="s">
        <v>45</v>
      </c>
      <c r="T41" t="s">
        <v>286</v>
      </c>
      <c r="U41" t="s">
        <v>82</v>
      </c>
      <c r="V41" t="s">
        <v>48</v>
      </c>
      <c r="W41" t="s">
        <v>49</v>
      </c>
      <c r="X41" t="s">
        <v>49</v>
      </c>
      <c r="Y41" t="s">
        <v>49</v>
      </c>
      <c r="Z41" t="s">
        <v>50</v>
      </c>
      <c r="AA41" t="s">
        <v>51</v>
      </c>
      <c r="AB41" t="s">
        <v>66</v>
      </c>
      <c r="AC41" t="s">
        <v>66</v>
      </c>
      <c r="AD41" t="s">
        <v>93</v>
      </c>
      <c r="AE41" t="s">
        <v>55</v>
      </c>
      <c r="AF41" t="s">
        <v>49</v>
      </c>
      <c r="AG41">
        <v>0</v>
      </c>
      <c r="AH41" s="1" t="s">
        <v>345</v>
      </c>
      <c r="AI41" t="s">
        <v>346</v>
      </c>
    </row>
    <row r="42" spans="1:35" x14ac:dyDescent="0.25">
      <c r="A42" t="s">
        <v>32</v>
      </c>
      <c r="B42" t="s">
        <v>32</v>
      </c>
      <c r="C42" t="s">
        <v>33</v>
      </c>
      <c r="D42" t="s">
        <v>34</v>
      </c>
      <c r="E42" t="s">
        <v>347</v>
      </c>
      <c r="F42" t="s">
        <v>348</v>
      </c>
      <c r="G42" s="3" t="s">
        <v>37</v>
      </c>
      <c r="H42" s="3" t="str">
        <f t="shared" si="0"/>
        <v>K</v>
      </c>
      <c r="I42" s="3" t="str">
        <f t="shared" si="1"/>
        <v>2</v>
      </c>
      <c r="J42" s="3" t="str">
        <f t="shared" si="2"/>
        <v>K/2</v>
      </c>
      <c r="K42" t="s">
        <v>38</v>
      </c>
      <c r="L42" t="s">
        <v>39</v>
      </c>
      <c r="M42" t="s">
        <v>40</v>
      </c>
      <c r="N42" t="s">
        <v>349</v>
      </c>
      <c r="O42" t="s">
        <v>42</v>
      </c>
      <c r="P42" t="s">
        <v>43</v>
      </c>
      <c r="Q42" s="3" t="s">
        <v>350</v>
      </c>
      <c r="R42" t="s">
        <v>348</v>
      </c>
      <c r="S42" t="s">
        <v>45</v>
      </c>
      <c r="T42" t="s">
        <v>46</v>
      </c>
      <c r="U42" t="s">
        <v>82</v>
      </c>
      <c r="V42" t="s">
        <v>48</v>
      </c>
      <c r="W42" t="s">
        <v>49</v>
      </c>
      <c r="X42" t="s">
        <v>49</v>
      </c>
      <c r="Y42" t="s">
        <v>49</v>
      </c>
      <c r="Z42" t="s">
        <v>50</v>
      </c>
      <c r="AA42" t="s">
        <v>51</v>
      </c>
      <c r="AB42" t="s">
        <v>66</v>
      </c>
      <c r="AC42" t="s">
        <v>66</v>
      </c>
      <c r="AD42" t="s">
        <v>54</v>
      </c>
      <c r="AE42" t="s">
        <v>55</v>
      </c>
      <c r="AF42" t="s">
        <v>49</v>
      </c>
      <c r="AG42">
        <v>62014</v>
      </c>
      <c r="AH42" s="1" t="s">
        <v>351</v>
      </c>
      <c r="AI42" t="s">
        <v>352</v>
      </c>
    </row>
    <row r="43" spans="1:35" x14ac:dyDescent="0.25">
      <c r="A43" t="s">
        <v>32</v>
      </c>
      <c r="B43" t="s">
        <v>32</v>
      </c>
      <c r="C43" t="s">
        <v>33</v>
      </c>
      <c r="D43" t="s">
        <v>34</v>
      </c>
      <c r="E43" t="s">
        <v>353</v>
      </c>
      <c r="F43" t="s">
        <v>354</v>
      </c>
      <c r="G43" s="3" t="s">
        <v>37</v>
      </c>
      <c r="H43" s="3" t="str">
        <f t="shared" si="0"/>
        <v>K</v>
      </c>
      <c r="I43" s="3" t="str">
        <f t="shared" si="1"/>
        <v>1</v>
      </c>
      <c r="J43" s="3" t="str">
        <f t="shared" si="2"/>
        <v>K/1</v>
      </c>
      <c r="K43" t="s">
        <v>38</v>
      </c>
      <c r="L43" t="s">
        <v>39</v>
      </c>
      <c r="M43" t="s">
        <v>40</v>
      </c>
      <c r="N43" t="s">
        <v>355</v>
      </c>
      <c r="O43" t="s">
        <v>42</v>
      </c>
      <c r="P43" t="s">
        <v>43</v>
      </c>
      <c r="Q43" s="3" t="s">
        <v>356</v>
      </c>
      <c r="R43" t="s">
        <v>354</v>
      </c>
      <c r="S43" t="s">
        <v>45</v>
      </c>
      <c r="T43" t="s">
        <v>46</v>
      </c>
      <c r="U43" t="s">
        <v>73</v>
      </c>
      <c r="V43" t="s">
        <v>48</v>
      </c>
      <c r="W43" t="s">
        <v>49</v>
      </c>
      <c r="X43" t="s">
        <v>49</v>
      </c>
      <c r="Y43" t="s">
        <v>49</v>
      </c>
      <c r="Z43" t="s">
        <v>50</v>
      </c>
      <c r="AA43" t="s">
        <v>51</v>
      </c>
      <c r="AB43" t="s">
        <v>66</v>
      </c>
      <c r="AC43" t="s">
        <v>66</v>
      </c>
      <c r="AD43" t="s">
        <v>54</v>
      </c>
      <c r="AE43" t="s">
        <v>55</v>
      </c>
      <c r="AF43" t="s">
        <v>49</v>
      </c>
      <c r="AG43">
        <v>0</v>
      </c>
      <c r="AH43" s="1" t="s">
        <v>357</v>
      </c>
      <c r="AI43" t="s">
        <v>358</v>
      </c>
    </row>
    <row r="44" spans="1:35" x14ac:dyDescent="0.25">
      <c r="A44" t="s">
        <v>32</v>
      </c>
      <c r="B44" t="s">
        <v>32</v>
      </c>
      <c r="C44" t="s">
        <v>33</v>
      </c>
      <c r="D44" t="s">
        <v>34</v>
      </c>
      <c r="E44" t="s">
        <v>359</v>
      </c>
      <c r="F44" t="s">
        <v>360</v>
      </c>
      <c r="G44" s="3" t="s">
        <v>37</v>
      </c>
      <c r="H44" s="3" t="str">
        <f t="shared" si="0"/>
        <v>TK</v>
      </c>
      <c r="I44" s="3" t="str">
        <f t="shared" si="1"/>
        <v>0</v>
      </c>
      <c r="J44" s="3" t="str">
        <f t="shared" si="2"/>
        <v>TK/0</v>
      </c>
      <c r="K44" t="s">
        <v>38</v>
      </c>
      <c r="L44" t="s">
        <v>39</v>
      </c>
      <c r="M44" t="s">
        <v>40</v>
      </c>
      <c r="N44" t="s">
        <v>361</v>
      </c>
      <c r="O44" t="s">
        <v>42</v>
      </c>
      <c r="P44" t="s">
        <v>43</v>
      </c>
      <c r="Q44" s="3" t="s">
        <v>362</v>
      </c>
      <c r="R44" t="s">
        <v>360</v>
      </c>
      <c r="S44" t="s">
        <v>45</v>
      </c>
      <c r="T44" t="s">
        <v>46</v>
      </c>
      <c r="U44" t="s">
        <v>47</v>
      </c>
      <c r="V44" t="s">
        <v>48</v>
      </c>
      <c r="W44" t="s">
        <v>49</v>
      </c>
      <c r="X44" t="s">
        <v>49</v>
      </c>
      <c r="Y44" t="s">
        <v>49</v>
      </c>
      <c r="Z44" t="s">
        <v>50</v>
      </c>
      <c r="AA44" t="s">
        <v>51</v>
      </c>
      <c r="AB44" t="s">
        <v>52</v>
      </c>
      <c r="AC44" t="s">
        <v>53</v>
      </c>
      <c r="AD44" t="s">
        <v>54</v>
      </c>
      <c r="AE44" t="s">
        <v>55</v>
      </c>
      <c r="AF44" t="s">
        <v>49</v>
      </c>
      <c r="AG44">
        <v>62014</v>
      </c>
      <c r="AH44" s="1" t="s">
        <v>363</v>
      </c>
      <c r="AI44" t="s">
        <v>364</v>
      </c>
    </row>
    <row r="45" spans="1:35" x14ac:dyDescent="0.25">
      <c r="A45" t="s">
        <v>32</v>
      </c>
      <c r="B45" t="s">
        <v>32</v>
      </c>
      <c r="C45" t="s">
        <v>33</v>
      </c>
      <c r="D45" t="s">
        <v>34</v>
      </c>
      <c r="E45" t="s">
        <v>365</v>
      </c>
      <c r="F45" t="s">
        <v>366</v>
      </c>
      <c r="G45" s="3" t="s">
        <v>37</v>
      </c>
      <c r="H45" s="3" t="str">
        <f t="shared" si="0"/>
        <v>TK</v>
      </c>
      <c r="I45" s="3" t="str">
        <f t="shared" si="1"/>
        <v>0</v>
      </c>
      <c r="J45" s="3" t="str">
        <f t="shared" si="2"/>
        <v>TK/0</v>
      </c>
      <c r="K45" t="s">
        <v>60</v>
      </c>
      <c r="L45" t="s">
        <v>61</v>
      </c>
      <c r="M45" t="s">
        <v>40</v>
      </c>
      <c r="N45" t="s">
        <v>367</v>
      </c>
      <c r="O45" t="s">
        <v>42</v>
      </c>
      <c r="P45" t="s">
        <v>43</v>
      </c>
      <c r="Q45" s="3" t="s">
        <v>368</v>
      </c>
      <c r="R45" t="s">
        <v>369</v>
      </c>
      <c r="S45" t="s">
        <v>45</v>
      </c>
      <c r="T45" t="s">
        <v>65</v>
      </c>
      <c r="U45" t="s">
        <v>47</v>
      </c>
      <c r="V45" t="s">
        <v>48</v>
      </c>
      <c r="W45" t="s">
        <v>49</v>
      </c>
      <c r="X45" t="s">
        <v>49</v>
      </c>
      <c r="Y45" t="s">
        <v>49</v>
      </c>
      <c r="Z45" t="s">
        <v>50</v>
      </c>
      <c r="AA45" t="s">
        <v>51</v>
      </c>
      <c r="AB45" t="s">
        <v>66</v>
      </c>
      <c r="AC45" t="s">
        <v>66</v>
      </c>
      <c r="AD45" t="s">
        <v>54</v>
      </c>
      <c r="AE45" t="s">
        <v>55</v>
      </c>
      <c r="AF45" t="s">
        <v>49</v>
      </c>
      <c r="AG45">
        <v>0</v>
      </c>
      <c r="AH45" s="1" t="s">
        <v>370</v>
      </c>
      <c r="AI45" t="s">
        <v>371</v>
      </c>
    </row>
    <row r="46" spans="1:35" x14ac:dyDescent="0.25">
      <c r="A46" t="s">
        <v>32</v>
      </c>
      <c r="B46" t="s">
        <v>32</v>
      </c>
      <c r="C46" t="s">
        <v>33</v>
      </c>
      <c r="D46" t="s">
        <v>34</v>
      </c>
      <c r="E46" t="s">
        <v>372</v>
      </c>
      <c r="F46" t="s">
        <v>373</v>
      </c>
      <c r="G46" s="3" t="s">
        <v>37</v>
      </c>
      <c r="H46" s="3" t="str">
        <f t="shared" si="0"/>
        <v>K</v>
      </c>
      <c r="I46" s="3" t="str">
        <f t="shared" si="1"/>
        <v>0</v>
      </c>
      <c r="J46" s="3" t="str">
        <f t="shared" si="2"/>
        <v>K/0</v>
      </c>
      <c r="K46" t="s">
        <v>60</v>
      </c>
      <c r="L46" t="s">
        <v>61</v>
      </c>
      <c r="M46" t="s">
        <v>40</v>
      </c>
      <c r="N46" t="s">
        <v>374</v>
      </c>
      <c r="O46" t="s">
        <v>42</v>
      </c>
      <c r="P46" t="s">
        <v>43</v>
      </c>
      <c r="Q46" s="3" t="s">
        <v>375</v>
      </c>
      <c r="R46" t="s">
        <v>373</v>
      </c>
      <c r="S46" t="s">
        <v>45</v>
      </c>
      <c r="T46" t="s">
        <v>128</v>
      </c>
      <c r="U46" t="s">
        <v>148</v>
      </c>
      <c r="V46" t="s">
        <v>48</v>
      </c>
      <c r="W46" t="s">
        <v>49</v>
      </c>
      <c r="X46" t="s">
        <v>49</v>
      </c>
      <c r="Y46" t="s">
        <v>49</v>
      </c>
      <c r="Z46" t="s">
        <v>50</v>
      </c>
      <c r="AA46" t="s">
        <v>51</v>
      </c>
      <c r="AB46" t="s">
        <v>66</v>
      </c>
      <c r="AC46" t="s">
        <v>66</v>
      </c>
      <c r="AD46" t="s">
        <v>54</v>
      </c>
      <c r="AE46" t="s">
        <v>55</v>
      </c>
      <c r="AF46" t="s">
        <v>49</v>
      </c>
      <c r="AG46">
        <v>0</v>
      </c>
      <c r="AH46" s="1" t="s">
        <v>376</v>
      </c>
      <c r="AI46" t="s">
        <v>377</v>
      </c>
    </row>
    <row r="47" spans="1:35" x14ac:dyDescent="0.25">
      <c r="A47" t="s">
        <v>32</v>
      </c>
      <c r="B47" t="s">
        <v>32</v>
      </c>
      <c r="C47" t="s">
        <v>33</v>
      </c>
      <c r="D47" t="s">
        <v>34</v>
      </c>
      <c r="E47" t="s">
        <v>378</v>
      </c>
      <c r="F47" t="s">
        <v>379</v>
      </c>
      <c r="G47" s="3" t="s">
        <v>37</v>
      </c>
      <c r="H47" s="3" t="str">
        <f t="shared" si="0"/>
        <v>TK</v>
      </c>
      <c r="I47" s="3" t="str">
        <f t="shared" si="1"/>
        <v>0</v>
      </c>
      <c r="J47" s="3" t="str">
        <f t="shared" si="2"/>
        <v>TK/0</v>
      </c>
      <c r="K47" t="s">
        <v>38</v>
      </c>
      <c r="L47" t="s">
        <v>39</v>
      </c>
      <c r="M47" t="s">
        <v>40</v>
      </c>
      <c r="N47" t="s">
        <v>380</v>
      </c>
      <c r="O47" t="s">
        <v>42</v>
      </c>
      <c r="P47" t="s">
        <v>43</v>
      </c>
      <c r="Q47" s="3" t="s">
        <v>381</v>
      </c>
      <c r="R47" t="s">
        <v>379</v>
      </c>
      <c r="S47" t="s">
        <v>45</v>
      </c>
      <c r="T47" t="s">
        <v>81</v>
      </c>
      <c r="U47" t="s">
        <v>47</v>
      </c>
      <c r="V47" t="s">
        <v>48</v>
      </c>
      <c r="W47" t="s">
        <v>49</v>
      </c>
      <c r="X47" t="s">
        <v>49</v>
      </c>
      <c r="Y47" t="s">
        <v>49</v>
      </c>
      <c r="Z47" t="s">
        <v>50</v>
      </c>
      <c r="AA47" t="s">
        <v>51</v>
      </c>
      <c r="AB47" t="s">
        <v>66</v>
      </c>
      <c r="AC47" t="s">
        <v>66</v>
      </c>
      <c r="AD47" t="s">
        <v>54</v>
      </c>
      <c r="AE47" t="s">
        <v>55</v>
      </c>
      <c r="AF47" t="s">
        <v>49</v>
      </c>
      <c r="AG47">
        <v>0</v>
      </c>
      <c r="AH47" s="1" t="s">
        <v>382</v>
      </c>
      <c r="AI47" t="s">
        <v>383</v>
      </c>
    </row>
    <row r="48" spans="1:35" x14ac:dyDescent="0.25">
      <c r="A48" t="s">
        <v>32</v>
      </c>
      <c r="B48" t="s">
        <v>32</v>
      </c>
      <c r="C48" t="s">
        <v>33</v>
      </c>
      <c r="D48" t="s">
        <v>34</v>
      </c>
      <c r="E48" t="s">
        <v>384</v>
      </c>
      <c r="F48" t="s">
        <v>385</v>
      </c>
      <c r="G48" s="3" t="s">
        <v>180</v>
      </c>
      <c r="H48" s="3" t="str">
        <f t="shared" si="0"/>
        <v>K</v>
      </c>
      <c r="I48" s="3" t="str">
        <f t="shared" si="1"/>
        <v>2</v>
      </c>
      <c r="J48" s="3" t="str">
        <f t="shared" si="2"/>
        <v>TK/0</v>
      </c>
      <c r="K48" t="s">
        <v>98</v>
      </c>
      <c r="L48" t="s">
        <v>99</v>
      </c>
      <c r="M48" t="s">
        <v>207</v>
      </c>
      <c r="N48" t="s">
        <v>386</v>
      </c>
      <c r="O48" t="s">
        <v>42</v>
      </c>
      <c r="P48" t="s">
        <v>43</v>
      </c>
      <c r="Q48" s="3" t="s">
        <v>387</v>
      </c>
      <c r="R48" t="s">
        <v>385</v>
      </c>
      <c r="S48" t="s">
        <v>45</v>
      </c>
      <c r="T48" t="s">
        <v>388</v>
      </c>
      <c r="U48" t="s">
        <v>82</v>
      </c>
      <c r="V48" t="s">
        <v>48</v>
      </c>
      <c r="W48" t="s">
        <v>49</v>
      </c>
      <c r="X48" t="s">
        <v>49</v>
      </c>
      <c r="Y48" t="s">
        <v>49</v>
      </c>
      <c r="Z48" t="s">
        <v>50</v>
      </c>
      <c r="AA48" t="s">
        <v>51</v>
      </c>
      <c r="AB48" t="s">
        <v>52</v>
      </c>
      <c r="AC48" t="s">
        <v>53</v>
      </c>
      <c r="AD48" t="s">
        <v>212</v>
      </c>
      <c r="AE48" t="s">
        <v>55</v>
      </c>
      <c r="AF48" t="s">
        <v>49</v>
      </c>
      <c r="AG48">
        <v>0</v>
      </c>
      <c r="AH48" s="1" t="s">
        <v>389</v>
      </c>
      <c r="AI48" t="s">
        <v>390</v>
      </c>
    </row>
    <row r="49" spans="1:35" x14ac:dyDescent="0.25">
      <c r="A49" t="s">
        <v>32</v>
      </c>
      <c r="B49" t="s">
        <v>32</v>
      </c>
      <c r="C49" t="s">
        <v>33</v>
      </c>
      <c r="D49" t="s">
        <v>34</v>
      </c>
      <c r="E49" t="s">
        <v>391</v>
      </c>
      <c r="F49" t="s">
        <v>392</v>
      </c>
      <c r="G49" s="3" t="s">
        <v>37</v>
      </c>
      <c r="H49" s="3" t="str">
        <f t="shared" si="0"/>
        <v>K</v>
      </c>
      <c r="I49" s="3" t="str">
        <f t="shared" si="1"/>
        <v>0</v>
      </c>
      <c r="J49" s="3" t="str">
        <f t="shared" si="2"/>
        <v>K/0</v>
      </c>
      <c r="K49" t="s">
        <v>38</v>
      </c>
      <c r="L49" t="s">
        <v>39</v>
      </c>
      <c r="M49" t="s">
        <v>40</v>
      </c>
      <c r="N49" t="s">
        <v>393</v>
      </c>
      <c r="O49" t="s">
        <v>42</v>
      </c>
      <c r="P49" t="s">
        <v>43</v>
      </c>
      <c r="Q49" s="3" t="s">
        <v>394</v>
      </c>
      <c r="R49" t="s">
        <v>392</v>
      </c>
      <c r="S49" t="s">
        <v>45</v>
      </c>
      <c r="T49" t="s">
        <v>46</v>
      </c>
      <c r="U49" t="s">
        <v>148</v>
      </c>
      <c r="V49" t="s">
        <v>48</v>
      </c>
      <c r="W49" t="s">
        <v>49</v>
      </c>
      <c r="X49" t="s">
        <v>49</v>
      </c>
      <c r="Y49" t="s">
        <v>49</v>
      </c>
      <c r="Z49" t="s">
        <v>50</v>
      </c>
      <c r="AA49" t="s">
        <v>51</v>
      </c>
      <c r="AB49" t="s">
        <v>66</v>
      </c>
      <c r="AC49" t="s">
        <v>66</v>
      </c>
      <c r="AD49" t="s">
        <v>54</v>
      </c>
      <c r="AE49" t="s">
        <v>55</v>
      </c>
      <c r="AF49" t="s">
        <v>49</v>
      </c>
      <c r="AG49">
        <v>0</v>
      </c>
      <c r="AH49" s="1" t="s">
        <v>395</v>
      </c>
      <c r="AI49" t="s">
        <v>396</v>
      </c>
    </row>
    <row r="50" spans="1:35" x14ac:dyDescent="0.25">
      <c r="A50" t="s">
        <v>32</v>
      </c>
      <c r="B50" t="s">
        <v>32</v>
      </c>
      <c r="C50" t="s">
        <v>33</v>
      </c>
      <c r="D50" t="s">
        <v>34</v>
      </c>
      <c r="E50" t="s">
        <v>397</v>
      </c>
      <c r="F50" t="s">
        <v>398</v>
      </c>
      <c r="G50" s="3" t="s">
        <v>37</v>
      </c>
      <c r="H50" s="3" t="str">
        <f t="shared" si="0"/>
        <v>TK</v>
      </c>
      <c r="I50" s="3" t="str">
        <f t="shared" si="1"/>
        <v>0</v>
      </c>
      <c r="J50" s="3" t="str">
        <f t="shared" si="2"/>
        <v>TK/0</v>
      </c>
      <c r="K50" t="s">
        <v>38</v>
      </c>
      <c r="L50" t="s">
        <v>39</v>
      </c>
      <c r="M50" t="s">
        <v>40</v>
      </c>
      <c r="N50" t="s">
        <v>399</v>
      </c>
      <c r="O50" t="s">
        <v>42</v>
      </c>
      <c r="P50" t="s">
        <v>43</v>
      </c>
      <c r="Q50" s="3" t="s">
        <v>400</v>
      </c>
      <c r="R50" t="s">
        <v>398</v>
      </c>
      <c r="S50" t="s">
        <v>45</v>
      </c>
      <c r="T50" t="s">
        <v>81</v>
      </c>
      <c r="U50" t="s">
        <v>47</v>
      </c>
      <c r="V50" t="s">
        <v>48</v>
      </c>
      <c r="W50" t="s">
        <v>49</v>
      </c>
      <c r="X50" t="s">
        <v>49</v>
      </c>
      <c r="Y50" t="s">
        <v>49</v>
      </c>
      <c r="Z50" t="s">
        <v>50</v>
      </c>
      <c r="AA50" t="s">
        <v>51</v>
      </c>
      <c r="AB50" t="s">
        <v>66</v>
      </c>
      <c r="AC50" t="s">
        <v>66</v>
      </c>
      <c r="AD50" t="s">
        <v>54</v>
      </c>
      <c r="AE50" t="s">
        <v>55</v>
      </c>
      <c r="AF50" t="s">
        <v>49</v>
      </c>
      <c r="AG50">
        <v>0</v>
      </c>
      <c r="AH50" s="1" t="s">
        <v>401</v>
      </c>
      <c r="AI50" t="s">
        <v>402</v>
      </c>
    </row>
    <row r="51" spans="1:35" x14ac:dyDescent="0.25">
      <c r="A51" t="s">
        <v>32</v>
      </c>
      <c r="B51" t="s">
        <v>32</v>
      </c>
      <c r="C51" t="s">
        <v>33</v>
      </c>
      <c r="D51" t="s">
        <v>34</v>
      </c>
      <c r="E51" t="s">
        <v>403</v>
      </c>
      <c r="F51" t="s">
        <v>404</v>
      </c>
      <c r="G51" s="3" t="s">
        <v>37</v>
      </c>
      <c r="H51" s="3" t="str">
        <f t="shared" si="0"/>
        <v>K</v>
      </c>
      <c r="I51" s="3" t="str">
        <f t="shared" si="1"/>
        <v>1</v>
      </c>
      <c r="J51" s="3" t="str">
        <f t="shared" si="2"/>
        <v>K/1</v>
      </c>
      <c r="K51" t="s">
        <v>60</v>
      </c>
      <c r="L51" t="s">
        <v>61</v>
      </c>
      <c r="M51" t="s">
        <v>40</v>
      </c>
      <c r="N51" t="s">
        <v>405</v>
      </c>
      <c r="O51" t="s">
        <v>42</v>
      </c>
      <c r="P51" t="s">
        <v>43</v>
      </c>
      <c r="Q51" s="3" t="s">
        <v>406</v>
      </c>
      <c r="R51" t="s">
        <v>404</v>
      </c>
      <c r="S51" t="s">
        <v>45</v>
      </c>
      <c r="T51" t="s">
        <v>65</v>
      </c>
      <c r="U51" t="s">
        <v>73</v>
      </c>
      <c r="V51" t="s">
        <v>48</v>
      </c>
      <c r="W51" t="s">
        <v>49</v>
      </c>
      <c r="X51" t="s">
        <v>49</v>
      </c>
      <c r="Y51" t="s">
        <v>49</v>
      </c>
      <c r="Z51" t="s">
        <v>50</v>
      </c>
      <c r="AA51" t="s">
        <v>51</v>
      </c>
      <c r="AB51" t="s">
        <v>66</v>
      </c>
      <c r="AC51" t="s">
        <v>66</v>
      </c>
      <c r="AD51" t="s">
        <v>54</v>
      </c>
      <c r="AE51" t="s">
        <v>55</v>
      </c>
      <c r="AF51" t="s">
        <v>49</v>
      </c>
      <c r="AG51">
        <v>62014</v>
      </c>
      <c r="AH51" s="1" t="s">
        <v>407</v>
      </c>
      <c r="AI51" t="s">
        <v>408</v>
      </c>
    </row>
    <row r="52" spans="1:35" x14ac:dyDescent="0.25">
      <c r="A52" t="s">
        <v>32</v>
      </c>
      <c r="B52" t="s">
        <v>32</v>
      </c>
      <c r="C52" t="s">
        <v>33</v>
      </c>
      <c r="D52" t="s">
        <v>34</v>
      </c>
      <c r="E52" t="s">
        <v>409</v>
      </c>
      <c r="F52" t="s">
        <v>410</v>
      </c>
      <c r="G52" s="3" t="s">
        <v>37</v>
      </c>
      <c r="H52" s="3" t="str">
        <f t="shared" si="0"/>
        <v>TK</v>
      </c>
      <c r="I52" s="3" t="str">
        <f t="shared" si="1"/>
        <v>0</v>
      </c>
      <c r="J52" s="3" t="str">
        <f t="shared" si="2"/>
        <v>TK/0</v>
      </c>
      <c r="K52" t="s">
        <v>171</v>
      </c>
      <c r="L52" t="s">
        <v>172</v>
      </c>
      <c r="M52" t="s">
        <v>40</v>
      </c>
      <c r="N52" t="s">
        <v>411</v>
      </c>
      <c r="O52" t="s">
        <v>42</v>
      </c>
      <c r="P52" t="s">
        <v>43</v>
      </c>
      <c r="Q52" s="3" t="s">
        <v>412</v>
      </c>
      <c r="R52" t="s">
        <v>410</v>
      </c>
      <c r="S52" t="s">
        <v>45</v>
      </c>
      <c r="T52" t="s">
        <v>413</v>
      </c>
      <c r="U52" t="s">
        <v>47</v>
      </c>
      <c r="V52" t="s">
        <v>48</v>
      </c>
      <c r="W52" t="s">
        <v>49</v>
      </c>
      <c r="X52" t="s">
        <v>49</v>
      </c>
      <c r="Y52" t="s">
        <v>49</v>
      </c>
      <c r="Z52" t="s">
        <v>50</v>
      </c>
      <c r="AA52" t="s">
        <v>51</v>
      </c>
      <c r="AB52" t="s">
        <v>66</v>
      </c>
      <c r="AC52" t="s">
        <v>66</v>
      </c>
      <c r="AD52" t="s">
        <v>54</v>
      </c>
      <c r="AE52" t="s">
        <v>55</v>
      </c>
      <c r="AF52" t="s">
        <v>49</v>
      </c>
      <c r="AG52">
        <v>62014</v>
      </c>
      <c r="AH52" s="1" t="s">
        <v>414</v>
      </c>
      <c r="AI52" t="s">
        <v>415</v>
      </c>
    </row>
    <row r="53" spans="1:35" x14ac:dyDescent="0.25">
      <c r="A53" t="s">
        <v>32</v>
      </c>
      <c r="B53" t="s">
        <v>32</v>
      </c>
      <c r="C53" t="s">
        <v>32</v>
      </c>
      <c r="D53" t="s">
        <v>34</v>
      </c>
      <c r="E53" t="s">
        <v>416</v>
      </c>
      <c r="F53" t="s">
        <v>417</v>
      </c>
      <c r="G53" s="3" t="s">
        <v>37</v>
      </c>
      <c r="H53" s="3" t="str">
        <f t="shared" si="0"/>
        <v>K</v>
      </c>
      <c r="I53" s="3" t="str">
        <f t="shared" si="1"/>
        <v>2</v>
      </c>
      <c r="J53" s="3" t="str">
        <f t="shared" si="2"/>
        <v>K/2</v>
      </c>
      <c r="K53" t="s">
        <v>171</v>
      </c>
      <c r="L53" t="s">
        <v>172</v>
      </c>
      <c r="M53" t="s">
        <v>40</v>
      </c>
      <c r="N53" t="s">
        <v>418</v>
      </c>
      <c r="O53" t="s">
        <v>42</v>
      </c>
      <c r="P53" t="s">
        <v>43</v>
      </c>
      <c r="Q53" s="3" t="s">
        <v>419</v>
      </c>
      <c r="R53" t="s">
        <v>417</v>
      </c>
      <c r="S53" t="s">
        <v>45</v>
      </c>
      <c r="T53" t="s">
        <v>413</v>
      </c>
      <c r="U53" t="s">
        <v>82</v>
      </c>
      <c r="V53" t="s">
        <v>48</v>
      </c>
      <c r="W53" t="s">
        <v>49</v>
      </c>
      <c r="X53" t="s">
        <v>49</v>
      </c>
      <c r="Y53" t="s">
        <v>49</v>
      </c>
      <c r="Z53" t="s">
        <v>50</v>
      </c>
      <c r="AA53" t="s">
        <v>51</v>
      </c>
      <c r="AB53" t="s">
        <v>66</v>
      </c>
      <c r="AC53" t="s">
        <v>66</v>
      </c>
      <c r="AD53" t="s">
        <v>54</v>
      </c>
      <c r="AE53" t="s">
        <v>55</v>
      </c>
      <c r="AF53" t="s">
        <v>49</v>
      </c>
      <c r="AG53">
        <v>124027</v>
      </c>
      <c r="AH53" s="1" t="s">
        <v>420</v>
      </c>
      <c r="AI53" t="s">
        <v>421</v>
      </c>
    </row>
    <row r="54" spans="1:35" x14ac:dyDescent="0.25">
      <c r="A54" t="s">
        <v>32</v>
      </c>
      <c r="B54" t="s">
        <v>32</v>
      </c>
      <c r="C54" t="s">
        <v>33</v>
      </c>
      <c r="D54" t="s">
        <v>34</v>
      </c>
      <c r="E54" t="s">
        <v>422</v>
      </c>
      <c r="F54" t="s">
        <v>423</v>
      </c>
      <c r="G54" s="3" t="s">
        <v>37</v>
      </c>
      <c r="H54" s="3" t="str">
        <f t="shared" si="0"/>
        <v>TK</v>
      </c>
      <c r="I54" s="3" t="str">
        <f t="shared" si="1"/>
        <v>1</v>
      </c>
      <c r="J54" s="3" t="str">
        <f t="shared" si="2"/>
        <v>TK/1</v>
      </c>
      <c r="K54" t="s">
        <v>38</v>
      </c>
      <c r="L54" t="s">
        <v>39</v>
      </c>
      <c r="M54" t="s">
        <v>40</v>
      </c>
      <c r="N54" t="s">
        <v>424</v>
      </c>
      <c r="O54" t="s">
        <v>42</v>
      </c>
      <c r="P54" t="s">
        <v>43</v>
      </c>
      <c r="Q54" s="3" t="s">
        <v>425</v>
      </c>
      <c r="R54" t="s">
        <v>423</v>
      </c>
      <c r="S54" t="s">
        <v>45</v>
      </c>
      <c r="T54" t="s">
        <v>46</v>
      </c>
      <c r="U54" t="s">
        <v>426</v>
      </c>
      <c r="V54" t="s">
        <v>48</v>
      </c>
      <c r="W54" t="s">
        <v>49</v>
      </c>
      <c r="X54" t="s">
        <v>49</v>
      </c>
      <c r="Y54" t="s">
        <v>49</v>
      </c>
      <c r="Z54" t="s">
        <v>50</v>
      </c>
      <c r="AA54" t="s">
        <v>51</v>
      </c>
      <c r="AB54" t="s">
        <v>52</v>
      </c>
      <c r="AC54" t="s">
        <v>53</v>
      </c>
      <c r="AD54" t="s">
        <v>54</v>
      </c>
      <c r="AE54" t="s">
        <v>55</v>
      </c>
      <c r="AF54" t="s">
        <v>49</v>
      </c>
      <c r="AG54">
        <v>62014</v>
      </c>
      <c r="AH54" s="1" t="s">
        <v>427</v>
      </c>
      <c r="AI54" t="s">
        <v>428</v>
      </c>
    </row>
    <row r="55" spans="1:35" x14ac:dyDescent="0.25">
      <c r="A55" t="s">
        <v>32</v>
      </c>
      <c r="B55" t="s">
        <v>32</v>
      </c>
      <c r="C55" t="s">
        <v>33</v>
      </c>
      <c r="D55" t="s">
        <v>34</v>
      </c>
      <c r="E55" t="s">
        <v>429</v>
      </c>
      <c r="F55" t="s">
        <v>430</v>
      </c>
      <c r="G55" s="3" t="s">
        <v>37</v>
      </c>
      <c r="H55" s="3" t="str">
        <f t="shared" si="0"/>
        <v>K</v>
      </c>
      <c r="I55" s="3" t="str">
        <f t="shared" si="1"/>
        <v>2</v>
      </c>
      <c r="J55" s="3" t="str">
        <f t="shared" si="2"/>
        <v>K/2</v>
      </c>
      <c r="K55" t="s">
        <v>205</v>
      </c>
      <c r="L55" t="s">
        <v>206</v>
      </c>
      <c r="M55" t="s">
        <v>89</v>
      </c>
      <c r="N55" t="s">
        <v>431</v>
      </c>
      <c r="O55" t="s">
        <v>42</v>
      </c>
      <c r="P55" t="s">
        <v>43</v>
      </c>
      <c r="Q55" s="3" t="s">
        <v>432</v>
      </c>
      <c r="R55" t="s">
        <v>430</v>
      </c>
      <c r="S55" t="s">
        <v>45</v>
      </c>
      <c r="T55" t="s">
        <v>433</v>
      </c>
      <c r="U55" t="s">
        <v>82</v>
      </c>
      <c r="V55" t="s">
        <v>48</v>
      </c>
      <c r="W55" t="s">
        <v>49</v>
      </c>
      <c r="X55" t="s">
        <v>49</v>
      </c>
      <c r="Y55" t="s">
        <v>49</v>
      </c>
      <c r="Z55" t="s">
        <v>50</v>
      </c>
      <c r="AA55" t="s">
        <v>51</v>
      </c>
      <c r="AB55" t="s">
        <v>66</v>
      </c>
      <c r="AC55" t="s">
        <v>66</v>
      </c>
      <c r="AD55" t="s">
        <v>93</v>
      </c>
      <c r="AE55" t="s">
        <v>55</v>
      </c>
      <c r="AF55" t="s">
        <v>49</v>
      </c>
      <c r="AG55">
        <v>0</v>
      </c>
      <c r="AH55" s="1" t="s">
        <v>434</v>
      </c>
      <c r="AI55" t="s">
        <v>435</v>
      </c>
    </row>
    <row r="56" spans="1:35" x14ac:dyDescent="0.25">
      <c r="A56" t="s">
        <v>32</v>
      </c>
      <c r="B56" t="s">
        <v>32</v>
      </c>
      <c r="C56" t="s">
        <v>33</v>
      </c>
      <c r="D56" t="s">
        <v>34</v>
      </c>
      <c r="E56" t="s">
        <v>436</v>
      </c>
      <c r="F56" t="s">
        <v>437</v>
      </c>
      <c r="G56" s="3" t="s">
        <v>37</v>
      </c>
      <c r="H56" s="3" t="str">
        <f t="shared" si="0"/>
        <v>TK</v>
      </c>
      <c r="I56" s="3" t="str">
        <f t="shared" si="1"/>
        <v>0</v>
      </c>
      <c r="J56" s="3" t="str">
        <f t="shared" si="2"/>
        <v>TK/0</v>
      </c>
      <c r="K56" t="s">
        <v>60</v>
      </c>
      <c r="L56" t="s">
        <v>61</v>
      </c>
      <c r="M56" t="s">
        <v>40</v>
      </c>
      <c r="N56" t="s">
        <v>438</v>
      </c>
      <c r="O56" t="s">
        <v>42</v>
      </c>
      <c r="P56" t="s">
        <v>43</v>
      </c>
      <c r="Q56" s="3" t="s">
        <v>439</v>
      </c>
      <c r="R56" t="s">
        <v>437</v>
      </c>
      <c r="S56" t="s">
        <v>45</v>
      </c>
      <c r="T56" t="s">
        <v>128</v>
      </c>
      <c r="U56" t="s">
        <v>47</v>
      </c>
      <c r="V56" t="s">
        <v>48</v>
      </c>
      <c r="W56" t="s">
        <v>49</v>
      </c>
      <c r="X56" t="s">
        <v>49</v>
      </c>
      <c r="Y56" t="s">
        <v>49</v>
      </c>
      <c r="Z56" t="s">
        <v>50</v>
      </c>
      <c r="AA56" t="s">
        <v>51</v>
      </c>
      <c r="AB56" t="s">
        <v>66</v>
      </c>
      <c r="AC56" t="s">
        <v>66</v>
      </c>
      <c r="AD56" t="s">
        <v>54</v>
      </c>
      <c r="AE56" t="s">
        <v>55</v>
      </c>
      <c r="AF56" t="s">
        <v>49</v>
      </c>
      <c r="AG56">
        <v>0</v>
      </c>
      <c r="AH56" s="1" t="s">
        <v>440</v>
      </c>
      <c r="AI56" t="s">
        <v>441</v>
      </c>
    </row>
    <row r="57" spans="1:35" x14ac:dyDescent="0.25">
      <c r="A57" t="s">
        <v>32</v>
      </c>
      <c r="B57" t="s">
        <v>32</v>
      </c>
      <c r="C57" t="s">
        <v>33</v>
      </c>
      <c r="D57" t="s">
        <v>34</v>
      </c>
      <c r="E57" t="s">
        <v>442</v>
      </c>
      <c r="F57" t="s">
        <v>443</v>
      </c>
      <c r="G57" s="3" t="s">
        <v>37</v>
      </c>
      <c r="H57" s="3" t="str">
        <f t="shared" si="0"/>
        <v>K</v>
      </c>
      <c r="I57" s="3" t="str">
        <f t="shared" si="1"/>
        <v>2</v>
      </c>
      <c r="J57" s="3" t="str">
        <f t="shared" si="2"/>
        <v>K/2</v>
      </c>
      <c r="K57" t="s">
        <v>38</v>
      </c>
      <c r="L57" t="s">
        <v>39</v>
      </c>
      <c r="M57" t="s">
        <v>40</v>
      </c>
      <c r="N57" t="s">
        <v>444</v>
      </c>
      <c r="O57" t="s">
        <v>42</v>
      </c>
      <c r="P57" t="s">
        <v>43</v>
      </c>
      <c r="Q57" s="3" t="s">
        <v>445</v>
      </c>
      <c r="R57" t="s">
        <v>443</v>
      </c>
      <c r="S57" t="s">
        <v>45</v>
      </c>
      <c r="T57" t="s">
        <v>46</v>
      </c>
      <c r="U57" t="s">
        <v>82</v>
      </c>
      <c r="V57" t="s">
        <v>48</v>
      </c>
      <c r="W57" t="s">
        <v>49</v>
      </c>
      <c r="X57" t="s">
        <v>49</v>
      </c>
      <c r="Y57" t="s">
        <v>49</v>
      </c>
      <c r="Z57" t="s">
        <v>50</v>
      </c>
      <c r="AA57" t="s">
        <v>51</v>
      </c>
      <c r="AB57" t="s">
        <v>52</v>
      </c>
      <c r="AC57" t="s">
        <v>53</v>
      </c>
      <c r="AD57" t="s">
        <v>54</v>
      </c>
      <c r="AE57" t="s">
        <v>55</v>
      </c>
      <c r="AF57" t="s">
        <v>49</v>
      </c>
      <c r="AG57">
        <v>0</v>
      </c>
      <c r="AH57" s="1" t="s">
        <v>446</v>
      </c>
      <c r="AI57" t="s">
        <v>447</v>
      </c>
    </row>
    <row r="58" spans="1:35" x14ac:dyDescent="0.25">
      <c r="A58" t="s">
        <v>32</v>
      </c>
      <c r="B58" t="s">
        <v>32</v>
      </c>
      <c r="C58" t="s">
        <v>33</v>
      </c>
      <c r="D58" t="s">
        <v>34</v>
      </c>
      <c r="E58" t="s">
        <v>448</v>
      </c>
      <c r="F58" t="s">
        <v>449</v>
      </c>
      <c r="G58" s="3" t="s">
        <v>37</v>
      </c>
      <c r="H58" s="3" t="str">
        <f t="shared" si="0"/>
        <v>TK</v>
      </c>
      <c r="I58" s="3" t="str">
        <f t="shared" si="1"/>
        <v>0</v>
      </c>
      <c r="J58" s="3" t="str">
        <f t="shared" si="2"/>
        <v>TK/0</v>
      </c>
      <c r="K58" t="s">
        <v>60</v>
      </c>
      <c r="L58" t="s">
        <v>61</v>
      </c>
      <c r="M58" t="s">
        <v>40</v>
      </c>
      <c r="N58" t="s">
        <v>450</v>
      </c>
      <c r="O58" t="s">
        <v>42</v>
      </c>
      <c r="P58" t="s">
        <v>43</v>
      </c>
      <c r="Q58" s="3" t="s">
        <v>451</v>
      </c>
      <c r="R58" t="s">
        <v>452</v>
      </c>
      <c r="S58" t="s">
        <v>45</v>
      </c>
      <c r="T58" t="s">
        <v>65</v>
      </c>
      <c r="U58" t="s">
        <v>47</v>
      </c>
      <c r="V58" t="s">
        <v>48</v>
      </c>
      <c r="W58" t="s">
        <v>49</v>
      </c>
      <c r="X58" t="s">
        <v>49</v>
      </c>
      <c r="Y58" t="s">
        <v>49</v>
      </c>
      <c r="Z58" t="s">
        <v>50</v>
      </c>
      <c r="AA58" t="s">
        <v>51</v>
      </c>
      <c r="AB58" t="s">
        <v>66</v>
      </c>
      <c r="AC58" t="s">
        <v>66</v>
      </c>
      <c r="AD58" t="s">
        <v>54</v>
      </c>
      <c r="AE58" t="s">
        <v>55</v>
      </c>
      <c r="AF58" t="s">
        <v>49</v>
      </c>
      <c r="AG58">
        <v>62014</v>
      </c>
      <c r="AH58" s="1" t="s">
        <v>453</v>
      </c>
      <c r="AI58" t="s">
        <v>454</v>
      </c>
    </row>
    <row r="59" spans="1:35" x14ac:dyDescent="0.25">
      <c r="A59" t="s">
        <v>32</v>
      </c>
      <c r="B59" t="s">
        <v>32</v>
      </c>
      <c r="C59" t="s">
        <v>33</v>
      </c>
      <c r="D59" t="s">
        <v>34</v>
      </c>
      <c r="E59" t="s">
        <v>455</v>
      </c>
      <c r="F59" t="s">
        <v>456</v>
      </c>
      <c r="G59" s="3" t="s">
        <v>37</v>
      </c>
      <c r="H59" s="3" t="str">
        <f t="shared" si="0"/>
        <v>TK</v>
      </c>
      <c r="I59" s="3" t="str">
        <f t="shared" si="1"/>
        <v>0</v>
      </c>
      <c r="J59" s="3" t="str">
        <f t="shared" si="2"/>
        <v>TK/0</v>
      </c>
      <c r="K59" t="s">
        <v>60</v>
      </c>
      <c r="L59" t="s">
        <v>61</v>
      </c>
      <c r="M59" t="s">
        <v>40</v>
      </c>
      <c r="N59" t="s">
        <v>457</v>
      </c>
      <c r="O59" t="s">
        <v>42</v>
      </c>
      <c r="P59" t="s">
        <v>43</v>
      </c>
      <c r="Q59" s="3" t="s">
        <v>458</v>
      </c>
      <c r="R59" t="s">
        <v>459</v>
      </c>
      <c r="S59" t="s">
        <v>45</v>
      </c>
      <c r="T59" t="s">
        <v>65</v>
      </c>
      <c r="U59" t="s">
        <v>47</v>
      </c>
      <c r="V59" t="s">
        <v>48</v>
      </c>
      <c r="W59" t="s">
        <v>49</v>
      </c>
      <c r="X59" t="s">
        <v>49</v>
      </c>
      <c r="Y59" t="s">
        <v>49</v>
      </c>
      <c r="Z59" t="s">
        <v>50</v>
      </c>
      <c r="AA59" t="s">
        <v>51</v>
      </c>
      <c r="AB59" t="s">
        <v>66</v>
      </c>
      <c r="AC59" t="s">
        <v>66</v>
      </c>
      <c r="AD59" t="s">
        <v>54</v>
      </c>
      <c r="AE59" t="s">
        <v>55</v>
      </c>
      <c r="AF59" t="s">
        <v>49</v>
      </c>
      <c r="AG59">
        <v>0</v>
      </c>
      <c r="AH59" s="1" t="s">
        <v>460</v>
      </c>
      <c r="AI59" t="s">
        <v>461</v>
      </c>
    </row>
    <row r="60" spans="1:35" x14ac:dyDescent="0.25">
      <c r="A60" t="s">
        <v>32</v>
      </c>
      <c r="B60" t="s">
        <v>32</v>
      </c>
      <c r="C60" t="s">
        <v>33</v>
      </c>
      <c r="D60" t="s">
        <v>34</v>
      </c>
      <c r="E60" t="s">
        <v>462</v>
      </c>
      <c r="F60" t="s">
        <v>463</v>
      </c>
      <c r="G60" s="3" t="s">
        <v>37</v>
      </c>
      <c r="H60" s="3" t="str">
        <f t="shared" si="0"/>
        <v>K</v>
      </c>
      <c r="I60" s="3" t="str">
        <f t="shared" si="1"/>
        <v>1</v>
      </c>
      <c r="J60" s="3" t="str">
        <f t="shared" si="2"/>
        <v>K/1</v>
      </c>
      <c r="K60" t="s">
        <v>38</v>
      </c>
      <c r="L60" t="s">
        <v>39</v>
      </c>
      <c r="M60" t="s">
        <v>40</v>
      </c>
      <c r="N60" t="s">
        <v>464</v>
      </c>
      <c r="O60" t="s">
        <v>42</v>
      </c>
      <c r="P60" t="s">
        <v>43</v>
      </c>
      <c r="Q60" s="3" t="s">
        <v>465</v>
      </c>
      <c r="R60" t="s">
        <v>463</v>
      </c>
      <c r="S60" t="s">
        <v>45</v>
      </c>
      <c r="T60" t="s">
        <v>46</v>
      </c>
      <c r="U60" t="s">
        <v>73</v>
      </c>
      <c r="V60" t="s">
        <v>48</v>
      </c>
      <c r="W60" t="s">
        <v>49</v>
      </c>
      <c r="X60" t="s">
        <v>49</v>
      </c>
      <c r="Y60" t="s">
        <v>49</v>
      </c>
      <c r="Z60" t="s">
        <v>50</v>
      </c>
      <c r="AA60" t="s">
        <v>51</v>
      </c>
      <c r="AB60" t="s">
        <v>52</v>
      </c>
      <c r="AC60" t="s">
        <v>53</v>
      </c>
      <c r="AD60" t="s">
        <v>54</v>
      </c>
      <c r="AE60" t="s">
        <v>55</v>
      </c>
      <c r="AF60" t="s">
        <v>49</v>
      </c>
      <c r="AG60">
        <v>0</v>
      </c>
      <c r="AH60" s="1" t="s">
        <v>466</v>
      </c>
      <c r="AI60" t="s">
        <v>467</v>
      </c>
    </row>
    <row r="61" spans="1:35" x14ac:dyDescent="0.25">
      <c r="A61" t="s">
        <v>32</v>
      </c>
      <c r="B61" t="s">
        <v>32</v>
      </c>
      <c r="C61" t="s">
        <v>33</v>
      </c>
      <c r="D61" t="s">
        <v>34</v>
      </c>
      <c r="E61" t="s">
        <v>468</v>
      </c>
      <c r="F61" t="s">
        <v>469</v>
      </c>
      <c r="G61" s="3" t="s">
        <v>37</v>
      </c>
      <c r="H61" s="3" t="str">
        <f t="shared" si="0"/>
        <v>K</v>
      </c>
      <c r="I61" s="3" t="str">
        <f t="shared" si="1"/>
        <v>0</v>
      </c>
      <c r="J61" s="3" t="str">
        <f t="shared" si="2"/>
        <v>K/0</v>
      </c>
      <c r="K61" t="s">
        <v>38</v>
      </c>
      <c r="L61" t="s">
        <v>39</v>
      </c>
      <c r="M61" t="s">
        <v>40</v>
      </c>
      <c r="N61" t="s">
        <v>470</v>
      </c>
      <c r="O61" t="s">
        <v>42</v>
      </c>
      <c r="P61" t="s">
        <v>43</v>
      </c>
      <c r="Q61" s="3" t="s">
        <v>471</v>
      </c>
      <c r="R61" t="s">
        <v>469</v>
      </c>
      <c r="S61" t="s">
        <v>45</v>
      </c>
      <c r="T61" t="s">
        <v>46</v>
      </c>
      <c r="U61" t="s">
        <v>148</v>
      </c>
      <c r="V61" t="s">
        <v>48</v>
      </c>
      <c r="W61" t="s">
        <v>49</v>
      </c>
      <c r="X61" t="s">
        <v>49</v>
      </c>
      <c r="Y61" t="s">
        <v>49</v>
      </c>
      <c r="Z61" t="s">
        <v>50</v>
      </c>
      <c r="AA61" t="s">
        <v>51</v>
      </c>
      <c r="AB61" t="s">
        <v>52</v>
      </c>
      <c r="AC61" t="s">
        <v>53</v>
      </c>
      <c r="AD61" t="s">
        <v>54</v>
      </c>
      <c r="AE61" t="s">
        <v>55</v>
      </c>
      <c r="AF61" t="s">
        <v>49</v>
      </c>
      <c r="AG61">
        <v>124027</v>
      </c>
      <c r="AH61" s="1" t="s">
        <v>472</v>
      </c>
      <c r="AI61" t="s">
        <v>473</v>
      </c>
    </row>
    <row r="62" spans="1:35" x14ac:dyDescent="0.25">
      <c r="A62" t="s">
        <v>32</v>
      </c>
      <c r="B62" t="s">
        <v>32</v>
      </c>
      <c r="C62" t="s">
        <v>33</v>
      </c>
      <c r="D62" t="s">
        <v>34</v>
      </c>
      <c r="E62" t="s">
        <v>474</v>
      </c>
      <c r="F62" t="s">
        <v>475</v>
      </c>
      <c r="G62" s="3" t="s">
        <v>180</v>
      </c>
      <c r="H62" s="3" t="str">
        <f t="shared" si="0"/>
        <v>TK</v>
      </c>
      <c r="I62" s="3" t="str">
        <f t="shared" si="1"/>
        <v>0</v>
      </c>
      <c r="J62" s="3" t="str">
        <f t="shared" si="2"/>
        <v>TK/0</v>
      </c>
      <c r="K62" t="s">
        <v>38</v>
      </c>
      <c r="L62" t="s">
        <v>39</v>
      </c>
      <c r="M62" t="s">
        <v>40</v>
      </c>
      <c r="N62" t="s">
        <v>476</v>
      </c>
      <c r="O62" t="s">
        <v>42</v>
      </c>
      <c r="P62" t="s">
        <v>43</v>
      </c>
      <c r="Q62" s="3" t="s">
        <v>477</v>
      </c>
      <c r="R62" t="s">
        <v>475</v>
      </c>
      <c r="S62" t="s">
        <v>45</v>
      </c>
      <c r="T62" t="s">
        <v>46</v>
      </c>
      <c r="U62" t="s">
        <v>47</v>
      </c>
      <c r="V62" t="s">
        <v>48</v>
      </c>
      <c r="W62" t="s">
        <v>49</v>
      </c>
      <c r="X62" t="s">
        <v>49</v>
      </c>
      <c r="Y62" t="s">
        <v>49</v>
      </c>
      <c r="Z62" t="s">
        <v>50</v>
      </c>
      <c r="AA62" t="s">
        <v>51</v>
      </c>
      <c r="AB62" t="s">
        <v>52</v>
      </c>
      <c r="AC62" t="s">
        <v>53</v>
      </c>
      <c r="AD62" t="s">
        <v>54</v>
      </c>
      <c r="AE62" t="s">
        <v>55</v>
      </c>
      <c r="AF62" t="s">
        <v>49</v>
      </c>
      <c r="AG62">
        <v>0</v>
      </c>
      <c r="AH62" s="1" t="s">
        <v>478</v>
      </c>
      <c r="AI62" t="s">
        <v>479</v>
      </c>
    </row>
    <row r="63" spans="1:35" x14ac:dyDescent="0.25">
      <c r="A63" t="s">
        <v>32</v>
      </c>
      <c r="B63" t="s">
        <v>32</v>
      </c>
      <c r="C63" t="s">
        <v>33</v>
      </c>
      <c r="D63" t="s">
        <v>34</v>
      </c>
      <c r="E63" t="s">
        <v>480</v>
      </c>
      <c r="F63" t="s">
        <v>481</v>
      </c>
      <c r="G63" s="3" t="s">
        <v>37</v>
      </c>
      <c r="H63" s="3" t="str">
        <f t="shared" si="0"/>
        <v>TK</v>
      </c>
      <c r="I63" s="3" t="str">
        <f t="shared" si="1"/>
        <v>0</v>
      </c>
      <c r="J63" s="3" t="str">
        <f t="shared" si="2"/>
        <v>TK/0</v>
      </c>
      <c r="K63" t="s">
        <v>38</v>
      </c>
      <c r="L63" t="s">
        <v>39</v>
      </c>
      <c r="M63" t="s">
        <v>40</v>
      </c>
      <c r="N63" t="s">
        <v>482</v>
      </c>
      <c r="O63" t="s">
        <v>42</v>
      </c>
      <c r="P63" t="s">
        <v>43</v>
      </c>
      <c r="Q63" s="3" t="s">
        <v>483</v>
      </c>
      <c r="R63" t="s">
        <v>481</v>
      </c>
      <c r="S63" t="s">
        <v>45</v>
      </c>
      <c r="T63" t="s">
        <v>46</v>
      </c>
      <c r="U63" t="s">
        <v>47</v>
      </c>
      <c r="V63" t="s">
        <v>48</v>
      </c>
      <c r="W63" t="s">
        <v>49</v>
      </c>
      <c r="X63" t="s">
        <v>49</v>
      </c>
      <c r="Y63" t="s">
        <v>49</v>
      </c>
      <c r="Z63" t="s">
        <v>50</v>
      </c>
      <c r="AA63" t="s">
        <v>51</v>
      </c>
      <c r="AB63" t="s">
        <v>52</v>
      </c>
      <c r="AC63" t="s">
        <v>53</v>
      </c>
      <c r="AD63" t="s">
        <v>54</v>
      </c>
      <c r="AE63" t="s">
        <v>55</v>
      </c>
      <c r="AF63" t="s">
        <v>49</v>
      </c>
      <c r="AG63">
        <v>0</v>
      </c>
      <c r="AH63" s="1" t="s">
        <v>484</v>
      </c>
      <c r="AI63" t="s">
        <v>485</v>
      </c>
    </row>
    <row r="64" spans="1:35" x14ac:dyDescent="0.25">
      <c r="A64" t="s">
        <v>32</v>
      </c>
      <c r="B64" t="s">
        <v>32</v>
      </c>
      <c r="C64" t="s">
        <v>33</v>
      </c>
      <c r="D64" t="s">
        <v>34</v>
      </c>
      <c r="E64" t="s">
        <v>486</v>
      </c>
      <c r="F64" t="s">
        <v>487</v>
      </c>
      <c r="G64" s="3" t="s">
        <v>37</v>
      </c>
      <c r="H64" s="3" t="str">
        <f t="shared" si="0"/>
        <v>K</v>
      </c>
      <c r="I64" s="3" t="str">
        <f t="shared" si="1"/>
        <v>2</v>
      </c>
      <c r="J64" s="3" t="str">
        <f t="shared" si="2"/>
        <v>K/2</v>
      </c>
      <c r="K64" t="s">
        <v>205</v>
      </c>
      <c r="L64" t="s">
        <v>206</v>
      </c>
      <c r="M64" t="s">
        <v>89</v>
      </c>
      <c r="N64" t="s">
        <v>488</v>
      </c>
      <c r="O64" t="s">
        <v>42</v>
      </c>
      <c r="P64" t="s">
        <v>43</v>
      </c>
      <c r="Q64" s="3" t="s">
        <v>489</v>
      </c>
      <c r="R64" t="s">
        <v>487</v>
      </c>
      <c r="S64" t="s">
        <v>45</v>
      </c>
      <c r="T64" t="s">
        <v>490</v>
      </c>
      <c r="U64" t="s">
        <v>82</v>
      </c>
      <c r="V64" t="s">
        <v>48</v>
      </c>
      <c r="W64" t="s">
        <v>49</v>
      </c>
      <c r="X64" t="s">
        <v>49</v>
      </c>
      <c r="Y64" t="s">
        <v>49</v>
      </c>
      <c r="Z64" t="s">
        <v>50</v>
      </c>
      <c r="AA64" t="s">
        <v>51</v>
      </c>
      <c r="AB64" t="s">
        <v>66</v>
      </c>
      <c r="AC64" t="s">
        <v>66</v>
      </c>
      <c r="AD64" t="s">
        <v>93</v>
      </c>
      <c r="AE64" t="s">
        <v>55</v>
      </c>
      <c r="AF64" t="s">
        <v>49</v>
      </c>
      <c r="AG64">
        <v>0</v>
      </c>
      <c r="AH64" s="1" t="s">
        <v>491</v>
      </c>
      <c r="AI64" t="s">
        <v>492</v>
      </c>
    </row>
    <row r="65" spans="1:35" x14ac:dyDescent="0.25">
      <c r="A65" t="s">
        <v>32</v>
      </c>
      <c r="B65" t="s">
        <v>32</v>
      </c>
      <c r="C65" t="s">
        <v>33</v>
      </c>
      <c r="D65" t="s">
        <v>34</v>
      </c>
      <c r="E65" t="s">
        <v>493</v>
      </c>
      <c r="F65" t="s">
        <v>494</v>
      </c>
      <c r="G65" s="3" t="s">
        <v>37</v>
      </c>
      <c r="H65" s="3" t="str">
        <f t="shared" si="0"/>
        <v>K</v>
      </c>
      <c r="I65" s="3" t="str">
        <f t="shared" si="1"/>
        <v>2</v>
      </c>
      <c r="J65" s="3" t="str">
        <f t="shared" si="2"/>
        <v>K/2</v>
      </c>
      <c r="K65" t="s">
        <v>87</v>
      </c>
      <c r="L65" t="s">
        <v>88</v>
      </c>
      <c r="M65" t="s">
        <v>89</v>
      </c>
      <c r="N65" t="s">
        <v>495</v>
      </c>
      <c r="O65" t="s">
        <v>42</v>
      </c>
      <c r="P65" t="s">
        <v>43</v>
      </c>
      <c r="Q65" s="3" t="s">
        <v>496</v>
      </c>
      <c r="R65" t="s">
        <v>494</v>
      </c>
      <c r="S65" t="s">
        <v>45</v>
      </c>
      <c r="T65" t="s">
        <v>92</v>
      </c>
      <c r="U65" t="s">
        <v>82</v>
      </c>
      <c r="V65" t="s">
        <v>48</v>
      </c>
      <c r="W65" t="s">
        <v>49</v>
      </c>
      <c r="X65" t="s">
        <v>49</v>
      </c>
      <c r="Y65" t="s">
        <v>49</v>
      </c>
      <c r="Z65" t="s">
        <v>50</v>
      </c>
      <c r="AA65" t="s">
        <v>51</v>
      </c>
      <c r="AB65" t="s">
        <v>66</v>
      </c>
      <c r="AC65" t="s">
        <v>66</v>
      </c>
      <c r="AD65" t="s">
        <v>93</v>
      </c>
      <c r="AE65" t="s">
        <v>55</v>
      </c>
      <c r="AF65" t="s">
        <v>49</v>
      </c>
      <c r="AG65">
        <v>0</v>
      </c>
      <c r="AH65" s="1" t="s">
        <v>497</v>
      </c>
      <c r="AI65" t="s">
        <v>498</v>
      </c>
    </row>
    <row r="66" spans="1:35" x14ac:dyDescent="0.25">
      <c r="A66" t="s">
        <v>32</v>
      </c>
      <c r="B66" t="s">
        <v>32</v>
      </c>
      <c r="C66" t="s">
        <v>33</v>
      </c>
      <c r="D66" t="s">
        <v>34</v>
      </c>
      <c r="E66" t="s">
        <v>499</v>
      </c>
      <c r="F66" t="s">
        <v>500</v>
      </c>
      <c r="G66" s="3" t="s">
        <v>37</v>
      </c>
      <c r="H66" s="3" t="str">
        <f t="shared" si="0"/>
        <v>K</v>
      </c>
      <c r="I66" s="3" t="str">
        <f t="shared" si="1"/>
        <v>0</v>
      </c>
      <c r="J66" s="3" t="str">
        <f t="shared" si="2"/>
        <v>K/0</v>
      </c>
      <c r="K66" t="s">
        <v>38</v>
      </c>
      <c r="L66" t="s">
        <v>39</v>
      </c>
      <c r="M66" t="s">
        <v>40</v>
      </c>
      <c r="N66" t="s">
        <v>501</v>
      </c>
      <c r="O66" t="s">
        <v>42</v>
      </c>
      <c r="P66" t="s">
        <v>43</v>
      </c>
      <c r="Q66" s="3" t="s">
        <v>502</v>
      </c>
      <c r="R66" t="s">
        <v>500</v>
      </c>
      <c r="S66" t="s">
        <v>45</v>
      </c>
      <c r="T66" t="s">
        <v>46</v>
      </c>
      <c r="U66" t="s">
        <v>148</v>
      </c>
      <c r="V66" t="s">
        <v>48</v>
      </c>
      <c r="W66" t="s">
        <v>49</v>
      </c>
      <c r="X66" t="s">
        <v>49</v>
      </c>
      <c r="Y66" t="s">
        <v>49</v>
      </c>
      <c r="Z66" t="s">
        <v>50</v>
      </c>
      <c r="AA66" t="s">
        <v>51</v>
      </c>
      <c r="AB66" t="s">
        <v>66</v>
      </c>
      <c r="AC66" t="s">
        <v>66</v>
      </c>
      <c r="AD66" t="s">
        <v>54</v>
      </c>
      <c r="AE66" t="s">
        <v>55</v>
      </c>
      <c r="AF66" t="s">
        <v>49</v>
      </c>
      <c r="AG66">
        <v>0</v>
      </c>
      <c r="AH66" s="1" t="s">
        <v>503</v>
      </c>
      <c r="AI66" t="s">
        <v>504</v>
      </c>
    </row>
    <row r="67" spans="1:35" x14ac:dyDescent="0.25">
      <c r="A67" t="s">
        <v>32</v>
      </c>
      <c r="B67" t="s">
        <v>32</v>
      </c>
      <c r="C67" t="s">
        <v>33</v>
      </c>
      <c r="D67" t="s">
        <v>34</v>
      </c>
      <c r="E67" t="s">
        <v>505</v>
      </c>
      <c r="F67" t="s">
        <v>506</v>
      </c>
      <c r="G67" s="3" t="s">
        <v>37</v>
      </c>
      <c r="H67" s="3" t="str">
        <f t="shared" ref="H67:H130" si="3">IF(LEFT(U67,2)="11","K","TK")</f>
        <v>K</v>
      </c>
      <c r="I67" s="3" t="str">
        <f t="shared" ref="I67:I130" si="4">RIGHT(U67,1)</f>
        <v>2</v>
      </c>
      <c r="J67" s="3" t="str">
        <f t="shared" ref="J67:J130" si="5">IF(G67="P",IF(H67="K","TK/0",H67&amp;"/"&amp;I67),H67&amp;"/"&amp;I67)</f>
        <v>K/2</v>
      </c>
      <c r="K67" t="s">
        <v>98</v>
      </c>
      <c r="L67" t="s">
        <v>99</v>
      </c>
      <c r="M67" t="s">
        <v>207</v>
      </c>
      <c r="N67" t="s">
        <v>507</v>
      </c>
      <c r="O67" t="s">
        <v>42</v>
      </c>
      <c r="P67" t="s">
        <v>43</v>
      </c>
      <c r="Q67" s="3" t="s">
        <v>508</v>
      </c>
      <c r="R67" t="s">
        <v>506</v>
      </c>
      <c r="S67" t="s">
        <v>45</v>
      </c>
      <c r="T67" t="s">
        <v>509</v>
      </c>
      <c r="U67" t="s">
        <v>82</v>
      </c>
      <c r="V67" t="s">
        <v>48</v>
      </c>
      <c r="W67" t="s">
        <v>49</v>
      </c>
      <c r="X67" t="s">
        <v>49</v>
      </c>
      <c r="Y67" t="s">
        <v>49</v>
      </c>
      <c r="Z67" t="s">
        <v>50</v>
      </c>
      <c r="AA67" t="s">
        <v>51</v>
      </c>
      <c r="AB67" t="s">
        <v>66</v>
      </c>
      <c r="AC67" t="s">
        <v>66</v>
      </c>
      <c r="AD67" t="s">
        <v>212</v>
      </c>
      <c r="AE67" t="s">
        <v>55</v>
      </c>
      <c r="AF67" t="s">
        <v>49</v>
      </c>
      <c r="AG67">
        <v>0</v>
      </c>
      <c r="AH67" s="1" t="s">
        <v>510</v>
      </c>
      <c r="AI67" t="s">
        <v>511</v>
      </c>
    </row>
    <row r="68" spans="1:35" x14ac:dyDescent="0.25">
      <c r="A68" t="s">
        <v>32</v>
      </c>
      <c r="B68" t="s">
        <v>32</v>
      </c>
      <c r="C68" t="s">
        <v>33</v>
      </c>
      <c r="D68" t="s">
        <v>34</v>
      </c>
      <c r="E68" t="s">
        <v>512</v>
      </c>
      <c r="F68" t="s">
        <v>513</v>
      </c>
      <c r="G68" s="3" t="s">
        <v>37</v>
      </c>
      <c r="H68" s="3" t="str">
        <f t="shared" si="3"/>
        <v>K</v>
      </c>
      <c r="I68" s="3" t="str">
        <f t="shared" si="4"/>
        <v>0</v>
      </c>
      <c r="J68" s="3" t="str">
        <f t="shared" si="5"/>
        <v>K/0</v>
      </c>
      <c r="K68" t="s">
        <v>87</v>
      </c>
      <c r="L68" t="s">
        <v>88</v>
      </c>
      <c r="M68" t="s">
        <v>89</v>
      </c>
      <c r="N68" t="s">
        <v>514</v>
      </c>
      <c r="O68" t="s">
        <v>42</v>
      </c>
      <c r="P68" t="s">
        <v>43</v>
      </c>
      <c r="Q68" s="3" t="s">
        <v>515</v>
      </c>
      <c r="R68" t="s">
        <v>513</v>
      </c>
      <c r="S68" t="s">
        <v>45</v>
      </c>
      <c r="T68" t="s">
        <v>92</v>
      </c>
      <c r="U68" t="s">
        <v>148</v>
      </c>
      <c r="V68" t="s">
        <v>48</v>
      </c>
      <c r="W68" t="s">
        <v>49</v>
      </c>
      <c r="X68" t="s">
        <v>49</v>
      </c>
      <c r="Y68" t="s">
        <v>49</v>
      </c>
      <c r="Z68" t="s">
        <v>50</v>
      </c>
      <c r="AA68" t="s">
        <v>51</v>
      </c>
      <c r="AB68" t="s">
        <v>66</v>
      </c>
      <c r="AC68" t="s">
        <v>66</v>
      </c>
      <c r="AD68" t="s">
        <v>93</v>
      </c>
      <c r="AE68" t="s">
        <v>55</v>
      </c>
      <c r="AF68" t="s">
        <v>49</v>
      </c>
      <c r="AG68">
        <v>62014</v>
      </c>
      <c r="AH68" s="1" t="s">
        <v>516</v>
      </c>
      <c r="AI68" t="s">
        <v>517</v>
      </c>
    </row>
    <row r="69" spans="1:35" x14ac:dyDescent="0.25">
      <c r="A69" t="s">
        <v>32</v>
      </c>
      <c r="B69" t="s">
        <v>32</v>
      </c>
      <c r="C69" t="s">
        <v>33</v>
      </c>
      <c r="D69" t="s">
        <v>34</v>
      </c>
      <c r="E69" t="s">
        <v>518</v>
      </c>
      <c r="F69" t="s">
        <v>519</v>
      </c>
      <c r="G69" s="3" t="s">
        <v>37</v>
      </c>
      <c r="H69" s="3" t="str">
        <f t="shared" si="3"/>
        <v>TK</v>
      </c>
      <c r="I69" s="3" t="str">
        <f t="shared" si="4"/>
        <v>1</v>
      </c>
      <c r="J69" s="3" t="str">
        <f t="shared" si="5"/>
        <v>TK/1</v>
      </c>
      <c r="K69" t="s">
        <v>205</v>
      </c>
      <c r="L69" t="s">
        <v>206</v>
      </c>
      <c r="M69" t="s">
        <v>89</v>
      </c>
      <c r="N69" t="s">
        <v>520</v>
      </c>
      <c r="O69" t="s">
        <v>42</v>
      </c>
      <c r="P69" t="s">
        <v>43</v>
      </c>
      <c r="Q69" s="3" t="s">
        <v>521</v>
      </c>
      <c r="R69" t="s">
        <v>519</v>
      </c>
      <c r="S69" t="s">
        <v>45</v>
      </c>
      <c r="T69" t="s">
        <v>433</v>
      </c>
      <c r="U69" t="s">
        <v>426</v>
      </c>
      <c r="V69" t="s">
        <v>48</v>
      </c>
      <c r="W69" t="s">
        <v>49</v>
      </c>
      <c r="X69" t="s">
        <v>49</v>
      </c>
      <c r="Y69" t="s">
        <v>49</v>
      </c>
      <c r="Z69" t="s">
        <v>50</v>
      </c>
      <c r="AA69" t="s">
        <v>51</v>
      </c>
      <c r="AB69" t="s">
        <v>66</v>
      </c>
      <c r="AC69" t="s">
        <v>66</v>
      </c>
      <c r="AD69" t="s">
        <v>93</v>
      </c>
      <c r="AE69" t="s">
        <v>55</v>
      </c>
      <c r="AF69" t="s">
        <v>49</v>
      </c>
      <c r="AG69">
        <v>0</v>
      </c>
      <c r="AH69" s="1" t="s">
        <v>522</v>
      </c>
      <c r="AI69" t="s">
        <v>523</v>
      </c>
    </row>
    <row r="70" spans="1:35" x14ac:dyDescent="0.25">
      <c r="A70" t="s">
        <v>32</v>
      </c>
      <c r="B70" t="s">
        <v>32</v>
      </c>
      <c r="C70" t="s">
        <v>33</v>
      </c>
      <c r="D70" t="s">
        <v>34</v>
      </c>
      <c r="E70" t="s">
        <v>524</v>
      </c>
      <c r="F70" t="s">
        <v>525</v>
      </c>
      <c r="G70" s="3" t="s">
        <v>37</v>
      </c>
      <c r="H70" s="3" t="str">
        <f t="shared" si="3"/>
        <v>TK</v>
      </c>
      <c r="I70" s="3" t="str">
        <f t="shared" si="4"/>
        <v>2</v>
      </c>
      <c r="J70" s="3" t="str">
        <f t="shared" si="5"/>
        <v>TK/2</v>
      </c>
      <c r="K70" t="s">
        <v>274</v>
      </c>
      <c r="L70" t="s">
        <v>275</v>
      </c>
      <c r="M70" t="s">
        <v>89</v>
      </c>
      <c r="N70" t="s">
        <v>526</v>
      </c>
      <c r="O70" t="s">
        <v>42</v>
      </c>
      <c r="P70" t="s">
        <v>43</v>
      </c>
      <c r="Q70" s="3" t="s">
        <v>527</v>
      </c>
      <c r="R70" t="s">
        <v>525</v>
      </c>
      <c r="S70" t="s">
        <v>45</v>
      </c>
      <c r="T70" t="s">
        <v>278</v>
      </c>
      <c r="U70" t="s">
        <v>279</v>
      </c>
      <c r="V70" t="s">
        <v>48</v>
      </c>
      <c r="W70" t="s">
        <v>49</v>
      </c>
      <c r="X70" t="s">
        <v>49</v>
      </c>
      <c r="Y70" t="s">
        <v>49</v>
      </c>
      <c r="Z70" t="s">
        <v>50</v>
      </c>
      <c r="AA70" t="s">
        <v>51</v>
      </c>
      <c r="AB70" t="s">
        <v>52</v>
      </c>
      <c r="AC70" t="s">
        <v>53</v>
      </c>
      <c r="AD70" t="s">
        <v>93</v>
      </c>
      <c r="AE70" t="s">
        <v>55</v>
      </c>
      <c r="AF70" t="s">
        <v>49</v>
      </c>
      <c r="AG70">
        <v>0</v>
      </c>
      <c r="AH70" s="1" t="s">
        <v>528</v>
      </c>
      <c r="AI70" t="s">
        <v>529</v>
      </c>
    </row>
    <row r="71" spans="1:35" x14ac:dyDescent="0.25">
      <c r="A71" t="s">
        <v>32</v>
      </c>
      <c r="B71" t="s">
        <v>32</v>
      </c>
      <c r="C71" t="s">
        <v>33</v>
      </c>
      <c r="D71" t="s">
        <v>34</v>
      </c>
      <c r="E71" t="s">
        <v>530</v>
      </c>
      <c r="F71" t="s">
        <v>531</v>
      </c>
      <c r="G71" s="3" t="s">
        <v>37</v>
      </c>
      <c r="H71" s="3" t="str">
        <f t="shared" si="3"/>
        <v>TK</v>
      </c>
      <c r="I71" s="3" t="str">
        <f t="shared" si="4"/>
        <v>0</v>
      </c>
      <c r="J71" s="3" t="str">
        <f t="shared" si="5"/>
        <v>TK/0</v>
      </c>
      <c r="K71" t="s">
        <v>38</v>
      </c>
      <c r="L71" t="s">
        <v>39</v>
      </c>
      <c r="M71" t="s">
        <v>40</v>
      </c>
      <c r="N71" t="s">
        <v>532</v>
      </c>
      <c r="O71" t="s">
        <v>42</v>
      </c>
      <c r="P71" t="s">
        <v>43</v>
      </c>
      <c r="Q71" s="3" t="s">
        <v>533</v>
      </c>
      <c r="R71" t="s">
        <v>531</v>
      </c>
      <c r="S71" t="s">
        <v>45</v>
      </c>
      <c r="T71" t="s">
        <v>46</v>
      </c>
      <c r="U71" t="s">
        <v>47</v>
      </c>
      <c r="V71" t="s">
        <v>48</v>
      </c>
      <c r="W71" t="s">
        <v>49</v>
      </c>
      <c r="X71" t="s">
        <v>49</v>
      </c>
      <c r="Y71" t="s">
        <v>49</v>
      </c>
      <c r="Z71" t="s">
        <v>50</v>
      </c>
      <c r="AA71" t="s">
        <v>51</v>
      </c>
      <c r="AB71" t="s">
        <v>52</v>
      </c>
      <c r="AC71" t="s">
        <v>53</v>
      </c>
      <c r="AD71" t="s">
        <v>54</v>
      </c>
      <c r="AE71" t="s">
        <v>55</v>
      </c>
      <c r="AF71" t="s">
        <v>49</v>
      </c>
      <c r="AG71">
        <v>0</v>
      </c>
      <c r="AH71" s="1" t="s">
        <v>534</v>
      </c>
      <c r="AI71" t="s">
        <v>535</v>
      </c>
    </row>
    <row r="72" spans="1:35" x14ac:dyDescent="0.25">
      <c r="A72" t="s">
        <v>32</v>
      </c>
      <c r="B72" t="s">
        <v>32</v>
      </c>
      <c r="C72" t="s">
        <v>33</v>
      </c>
      <c r="D72" t="s">
        <v>34</v>
      </c>
      <c r="E72" t="s">
        <v>536</v>
      </c>
      <c r="F72" t="s">
        <v>537</v>
      </c>
      <c r="G72" s="3" t="s">
        <v>180</v>
      </c>
      <c r="H72" s="3" t="str">
        <f t="shared" si="3"/>
        <v>K</v>
      </c>
      <c r="I72" s="3" t="str">
        <f t="shared" si="4"/>
        <v>2</v>
      </c>
      <c r="J72" s="3" t="str">
        <f t="shared" si="5"/>
        <v>TK/0</v>
      </c>
      <c r="K72" t="s">
        <v>98</v>
      </c>
      <c r="L72" t="s">
        <v>99</v>
      </c>
      <c r="M72" t="s">
        <v>89</v>
      </c>
      <c r="N72" t="s">
        <v>538</v>
      </c>
      <c r="O72" t="s">
        <v>42</v>
      </c>
      <c r="P72" t="s">
        <v>43</v>
      </c>
      <c r="Q72" s="3" t="s">
        <v>539</v>
      </c>
      <c r="R72" t="s">
        <v>537</v>
      </c>
      <c r="S72" t="s">
        <v>45</v>
      </c>
      <c r="T72" t="s">
        <v>225</v>
      </c>
      <c r="U72" t="s">
        <v>82</v>
      </c>
      <c r="V72" t="s">
        <v>48</v>
      </c>
      <c r="W72" t="s">
        <v>49</v>
      </c>
      <c r="X72" t="s">
        <v>49</v>
      </c>
      <c r="Y72" t="s">
        <v>49</v>
      </c>
      <c r="Z72" t="s">
        <v>50</v>
      </c>
      <c r="AA72" t="s">
        <v>51</v>
      </c>
      <c r="AB72" t="s">
        <v>66</v>
      </c>
      <c r="AC72" t="s">
        <v>66</v>
      </c>
      <c r="AD72" t="s">
        <v>93</v>
      </c>
      <c r="AE72" t="s">
        <v>55</v>
      </c>
      <c r="AF72" t="s">
        <v>49</v>
      </c>
      <c r="AG72">
        <v>0</v>
      </c>
      <c r="AH72" s="1" t="s">
        <v>540</v>
      </c>
      <c r="AI72" t="s">
        <v>541</v>
      </c>
    </row>
    <row r="73" spans="1:35" x14ac:dyDescent="0.25">
      <c r="A73" t="s">
        <v>32</v>
      </c>
      <c r="B73" t="s">
        <v>32</v>
      </c>
      <c r="C73" t="s">
        <v>33</v>
      </c>
      <c r="D73" t="s">
        <v>34</v>
      </c>
      <c r="E73" t="s">
        <v>542</v>
      </c>
      <c r="F73" t="s">
        <v>543</v>
      </c>
      <c r="G73" s="3" t="s">
        <v>37</v>
      </c>
      <c r="H73" s="3" t="str">
        <f t="shared" si="3"/>
        <v>TK</v>
      </c>
      <c r="I73" s="3" t="str">
        <f t="shared" si="4"/>
        <v>0</v>
      </c>
      <c r="J73" s="3" t="str">
        <f t="shared" si="5"/>
        <v>TK/0</v>
      </c>
      <c r="K73" t="s">
        <v>38</v>
      </c>
      <c r="L73" t="s">
        <v>39</v>
      </c>
      <c r="M73" t="s">
        <v>40</v>
      </c>
      <c r="N73" t="s">
        <v>544</v>
      </c>
      <c r="O73" t="s">
        <v>42</v>
      </c>
      <c r="P73" t="s">
        <v>43</v>
      </c>
      <c r="Q73" s="3" t="s">
        <v>545</v>
      </c>
      <c r="R73" t="s">
        <v>543</v>
      </c>
      <c r="S73" t="s">
        <v>45</v>
      </c>
      <c r="T73" t="s">
        <v>46</v>
      </c>
      <c r="U73" t="s">
        <v>47</v>
      </c>
      <c r="V73" t="s">
        <v>48</v>
      </c>
      <c r="W73" t="s">
        <v>49</v>
      </c>
      <c r="X73" t="s">
        <v>49</v>
      </c>
      <c r="Y73" t="s">
        <v>49</v>
      </c>
      <c r="Z73" t="s">
        <v>50</v>
      </c>
      <c r="AA73" t="s">
        <v>51</v>
      </c>
      <c r="AB73" t="s">
        <v>52</v>
      </c>
      <c r="AC73" t="s">
        <v>53</v>
      </c>
      <c r="AD73" t="s">
        <v>54</v>
      </c>
      <c r="AE73" t="s">
        <v>55</v>
      </c>
      <c r="AF73" t="s">
        <v>49</v>
      </c>
      <c r="AG73">
        <v>62014</v>
      </c>
      <c r="AH73" s="1" t="s">
        <v>546</v>
      </c>
      <c r="AI73" t="s">
        <v>547</v>
      </c>
    </row>
    <row r="74" spans="1:35" x14ac:dyDescent="0.25">
      <c r="A74" t="s">
        <v>32</v>
      </c>
      <c r="B74" t="s">
        <v>32</v>
      </c>
      <c r="C74" t="s">
        <v>33</v>
      </c>
      <c r="D74" t="s">
        <v>34</v>
      </c>
      <c r="E74" t="s">
        <v>548</v>
      </c>
      <c r="F74" t="s">
        <v>549</v>
      </c>
      <c r="G74" s="3" t="s">
        <v>37</v>
      </c>
      <c r="H74" s="3" t="str">
        <f t="shared" si="3"/>
        <v>K</v>
      </c>
      <c r="I74" s="3" t="str">
        <f t="shared" si="4"/>
        <v>1</v>
      </c>
      <c r="J74" s="3" t="str">
        <f t="shared" si="5"/>
        <v>K/1</v>
      </c>
      <c r="K74" t="s">
        <v>38</v>
      </c>
      <c r="L74" t="s">
        <v>39</v>
      </c>
      <c r="M74" t="s">
        <v>40</v>
      </c>
      <c r="N74" t="s">
        <v>550</v>
      </c>
      <c r="O74" t="s">
        <v>42</v>
      </c>
      <c r="P74" t="s">
        <v>43</v>
      </c>
      <c r="Q74" s="3" t="s">
        <v>551</v>
      </c>
      <c r="R74" t="s">
        <v>549</v>
      </c>
      <c r="S74" t="s">
        <v>45</v>
      </c>
      <c r="T74" t="s">
        <v>46</v>
      </c>
      <c r="U74" t="s">
        <v>73</v>
      </c>
      <c r="V74" t="s">
        <v>48</v>
      </c>
      <c r="W74" t="s">
        <v>49</v>
      </c>
      <c r="X74" t="s">
        <v>49</v>
      </c>
      <c r="Y74" t="s">
        <v>49</v>
      </c>
      <c r="Z74" t="s">
        <v>50</v>
      </c>
      <c r="AA74" t="s">
        <v>51</v>
      </c>
      <c r="AB74" t="s">
        <v>52</v>
      </c>
      <c r="AC74" t="s">
        <v>53</v>
      </c>
      <c r="AD74" t="s">
        <v>54</v>
      </c>
      <c r="AE74" t="s">
        <v>55</v>
      </c>
      <c r="AF74" t="s">
        <v>49</v>
      </c>
      <c r="AG74">
        <v>62014</v>
      </c>
      <c r="AH74" s="1" t="s">
        <v>552</v>
      </c>
      <c r="AI74" t="s">
        <v>553</v>
      </c>
    </row>
    <row r="75" spans="1:35" x14ac:dyDescent="0.25">
      <c r="A75" t="s">
        <v>32</v>
      </c>
      <c r="B75" t="s">
        <v>32</v>
      </c>
      <c r="C75" t="s">
        <v>33</v>
      </c>
      <c r="D75" t="s">
        <v>34</v>
      </c>
      <c r="E75" t="s">
        <v>554</v>
      </c>
      <c r="F75" t="s">
        <v>555</v>
      </c>
      <c r="G75" s="3" t="s">
        <v>37</v>
      </c>
      <c r="H75" s="3" t="str">
        <f t="shared" si="3"/>
        <v>K</v>
      </c>
      <c r="I75" s="3" t="str">
        <f t="shared" si="4"/>
        <v>0</v>
      </c>
      <c r="J75" s="3" t="str">
        <f t="shared" si="5"/>
        <v>K/0</v>
      </c>
      <c r="K75" t="s">
        <v>60</v>
      </c>
      <c r="L75" t="s">
        <v>61</v>
      </c>
      <c r="M75" t="s">
        <v>40</v>
      </c>
      <c r="N75" t="s">
        <v>556</v>
      </c>
      <c r="O75" t="s">
        <v>42</v>
      </c>
      <c r="P75" t="s">
        <v>43</v>
      </c>
      <c r="Q75" s="3" t="s">
        <v>557</v>
      </c>
      <c r="R75" t="s">
        <v>555</v>
      </c>
      <c r="S75" t="s">
        <v>45</v>
      </c>
      <c r="T75" t="s">
        <v>65</v>
      </c>
      <c r="U75" t="s">
        <v>148</v>
      </c>
      <c r="V75" t="s">
        <v>48</v>
      </c>
      <c r="W75" t="s">
        <v>49</v>
      </c>
      <c r="X75" t="s">
        <v>49</v>
      </c>
      <c r="Y75" t="s">
        <v>49</v>
      </c>
      <c r="Z75" t="s">
        <v>50</v>
      </c>
      <c r="AA75" t="s">
        <v>51</v>
      </c>
      <c r="AB75" t="s">
        <v>66</v>
      </c>
      <c r="AC75" t="s">
        <v>66</v>
      </c>
      <c r="AD75" t="s">
        <v>54</v>
      </c>
      <c r="AE75" t="s">
        <v>55</v>
      </c>
      <c r="AF75" t="s">
        <v>49</v>
      </c>
      <c r="AG75">
        <v>0</v>
      </c>
      <c r="AH75" s="1" t="s">
        <v>558</v>
      </c>
      <c r="AI75" t="s">
        <v>559</v>
      </c>
    </row>
    <row r="76" spans="1:35" x14ac:dyDescent="0.25">
      <c r="A76" t="s">
        <v>32</v>
      </c>
      <c r="B76" t="s">
        <v>32</v>
      </c>
      <c r="C76" t="s">
        <v>33</v>
      </c>
      <c r="D76" t="s">
        <v>34</v>
      </c>
      <c r="E76" t="s">
        <v>560</v>
      </c>
      <c r="F76" t="s">
        <v>561</v>
      </c>
      <c r="G76" s="3" t="s">
        <v>37</v>
      </c>
      <c r="H76" s="3" t="str">
        <f t="shared" si="3"/>
        <v>K</v>
      </c>
      <c r="I76" s="3" t="str">
        <f t="shared" si="4"/>
        <v>1</v>
      </c>
      <c r="J76" s="3" t="str">
        <f t="shared" si="5"/>
        <v>K/1</v>
      </c>
      <c r="K76" t="s">
        <v>38</v>
      </c>
      <c r="L76" t="s">
        <v>39</v>
      </c>
      <c r="M76" t="s">
        <v>40</v>
      </c>
      <c r="N76" t="s">
        <v>562</v>
      </c>
      <c r="O76" t="s">
        <v>42</v>
      </c>
      <c r="P76" t="s">
        <v>43</v>
      </c>
      <c r="Q76" s="3" t="s">
        <v>563</v>
      </c>
      <c r="R76" t="s">
        <v>561</v>
      </c>
      <c r="S76" t="s">
        <v>45</v>
      </c>
      <c r="T76" t="s">
        <v>81</v>
      </c>
      <c r="U76" t="s">
        <v>73</v>
      </c>
      <c r="V76" t="s">
        <v>48</v>
      </c>
      <c r="W76" t="s">
        <v>49</v>
      </c>
      <c r="X76" t="s">
        <v>49</v>
      </c>
      <c r="Y76" t="s">
        <v>49</v>
      </c>
      <c r="Z76" t="s">
        <v>50</v>
      </c>
      <c r="AA76" t="s">
        <v>51</v>
      </c>
      <c r="AB76" t="s">
        <v>66</v>
      </c>
      <c r="AC76" t="s">
        <v>66</v>
      </c>
      <c r="AD76" t="s">
        <v>54</v>
      </c>
      <c r="AE76" t="s">
        <v>55</v>
      </c>
      <c r="AF76" t="s">
        <v>49</v>
      </c>
      <c r="AG76">
        <v>0</v>
      </c>
      <c r="AH76" s="1" t="s">
        <v>564</v>
      </c>
      <c r="AI76" t="s">
        <v>565</v>
      </c>
    </row>
    <row r="77" spans="1:35" x14ac:dyDescent="0.25">
      <c r="A77" t="s">
        <v>32</v>
      </c>
      <c r="B77" t="s">
        <v>32</v>
      </c>
      <c r="C77" t="s">
        <v>33</v>
      </c>
      <c r="D77" t="s">
        <v>34</v>
      </c>
      <c r="E77" t="s">
        <v>566</v>
      </c>
      <c r="F77" t="s">
        <v>567</v>
      </c>
      <c r="G77" s="3" t="s">
        <v>37</v>
      </c>
      <c r="H77" s="3" t="str">
        <f t="shared" si="3"/>
        <v>TK</v>
      </c>
      <c r="I77" s="3" t="str">
        <f t="shared" si="4"/>
        <v>0</v>
      </c>
      <c r="J77" s="3" t="str">
        <f t="shared" si="5"/>
        <v>TK/0</v>
      </c>
      <c r="K77" t="s">
        <v>60</v>
      </c>
      <c r="L77" t="s">
        <v>61</v>
      </c>
      <c r="M77" t="s">
        <v>40</v>
      </c>
      <c r="N77" t="s">
        <v>568</v>
      </c>
      <c r="O77" t="s">
        <v>42</v>
      </c>
      <c r="P77" t="s">
        <v>43</v>
      </c>
      <c r="Q77" s="3" t="s">
        <v>569</v>
      </c>
      <c r="R77" t="s">
        <v>570</v>
      </c>
      <c r="S77" t="s">
        <v>45</v>
      </c>
      <c r="T77" t="s">
        <v>65</v>
      </c>
      <c r="U77" t="s">
        <v>47</v>
      </c>
      <c r="V77" t="s">
        <v>48</v>
      </c>
      <c r="W77" t="s">
        <v>49</v>
      </c>
      <c r="X77" t="s">
        <v>49</v>
      </c>
      <c r="Y77" t="s">
        <v>49</v>
      </c>
      <c r="Z77" t="s">
        <v>50</v>
      </c>
      <c r="AA77" t="s">
        <v>51</v>
      </c>
      <c r="AB77" t="s">
        <v>66</v>
      </c>
      <c r="AC77" t="s">
        <v>66</v>
      </c>
      <c r="AD77" t="s">
        <v>54</v>
      </c>
      <c r="AE77" t="s">
        <v>55</v>
      </c>
      <c r="AF77" t="s">
        <v>49</v>
      </c>
      <c r="AG77">
        <v>62014</v>
      </c>
      <c r="AH77" s="1" t="s">
        <v>571</v>
      </c>
      <c r="AI77" t="s">
        <v>572</v>
      </c>
    </row>
    <row r="78" spans="1:35" x14ac:dyDescent="0.25">
      <c r="A78" t="s">
        <v>32</v>
      </c>
      <c r="B78" t="s">
        <v>32</v>
      </c>
      <c r="C78" t="s">
        <v>33</v>
      </c>
      <c r="D78" t="s">
        <v>34</v>
      </c>
      <c r="E78" t="s">
        <v>573</v>
      </c>
      <c r="F78" t="s">
        <v>574</v>
      </c>
      <c r="G78" s="3" t="s">
        <v>37</v>
      </c>
      <c r="H78" s="3" t="str">
        <f t="shared" si="3"/>
        <v>TK</v>
      </c>
      <c r="I78" s="3" t="str">
        <f t="shared" si="4"/>
        <v>0</v>
      </c>
      <c r="J78" s="3" t="str">
        <f t="shared" si="5"/>
        <v>TK/0</v>
      </c>
      <c r="K78" t="s">
        <v>60</v>
      </c>
      <c r="L78" t="s">
        <v>61</v>
      </c>
      <c r="M78" t="s">
        <v>133</v>
      </c>
      <c r="N78" t="s">
        <v>575</v>
      </c>
      <c r="O78" t="s">
        <v>42</v>
      </c>
      <c r="P78" t="s">
        <v>43</v>
      </c>
      <c r="Q78" s="3" t="s">
        <v>576</v>
      </c>
      <c r="R78" t="s">
        <v>574</v>
      </c>
      <c r="S78" t="s">
        <v>45</v>
      </c>
      <c r="T78" t="s">
        <v>136</v>
      </c>
      <c r="U78" t="s">
        <v>47</v>
      </c>
      <c r="V78" t="s">
        <v>48</v>
      </c>
      <c r="W78" t="s">
        <v>49</v>
      </c>
      <c r="X78" t="s">
        <v>49</v>
      </c>
      <c r="Y78" t="s">
        <v>49</v>
      </c>
      <c r="Z78" t="s">
        <v>50</v>
      </c>
      <c r="AA78" t="s">
        <v>51</v>
      </c>
      <c r="AB78" t="s">
        <v>66</v>
      </c>
      <c r="AC78" t="s">
        <v>66</v>
      </c>
      <c r="AD78" t="s">
        <v>55</v>
      </c>
      <c r="AE78" t="s">
        <v>55</v>
      </c>
      <c r="AF78" t="s">
        <v>48</v>
      </c>
      <c r="AG78">
        <v>0</v>
      </c>
      <c r="AH78" s="1" t="s">
        <v>575</v>
      </c>
      <c r="AI78" t="s">
        <v>577</v>
      </c>
    </row>
    <row r="79" spans="1:35" x14ac:dyDescent="0.25">
      <c r="A79" t="s">
        <v>32</v>
      </c>
      <c r="B79" t="s">
        <v>32</v>
      </c>
      <c r="C79" t="s">
        <v>33</v>
      </c>
      <c r="D79" t="s">
        <v>34</v>
      </c>
      <c r="E79" t="s">
        <v>578</v>
      </c>
      <c r="F79" t="s">
        <v>579</v>
      </c>
      <c r="G79" s="3" t="s">
        <v>37</v>
      </c>
      <c r="H79" s="3" t="str">
        <f t="shared" si="3"/>
        <v>K</v>
      </c>
      <c r="I79" s="3" t="str">
        <f t="shared" si="4"/>
        <v>1</v>
      </c>
      <c r="J79" s="3" t="str">
        <f t="shared" si="5"/>
        <v>K/1</v>
      </c>
      <c r="K79" t="s">
        <v>87</v>
      </c>
      <c r="L79" t="s">
        <v>88</v>
      </c>
      <c r="M79" t="s">
        <v>207</v>
      </c>
      <c r="N79" t="s">
        <v>580</v>
      </c>
      <c r="O79" t="s">
        <v>42</v>
      </c>
      <c r="P79" t="s">
        <v>43</v>
      </c>
      <c r="Q79" s="3" t="s">
        <v>581</v>
      </c>
      <c r="R79" t="s">
        <v>582</v>
      </c>
      <c r="S79" t="s">
        <v>45</v>
      </c>
      <c r="T79" t="s">
        <v>583</v>
      </c>
      <c r="U79" t="s">
        <v>73</v>
      </c>
      <c r="V79" t="s">
        <v>48</v>
      </c>
      <c r="W79" t="s">
        <v>49</v>
      </c>
      <c r="X79" t="s">
        <v>49</v>
      </c>
      <c r="Y79" t="s">
        <v>49</v>
      </c>
      <c r="Z79" t="s">
        <v>50</v>
      </c>
      <c r="AA79" t="s">
        <v>51</v>
      </c>
      <c r="AB79" t="s">
        <v>66</v>
      </c>
      <c r="AC79" t="s">
        <v>66</v>
      </c>
      <c r="AD79" t="s">
        <v>212</v>
      </c>
      <c r="AE79" t="s">
        <v>55</v>
      </c>
      <c r="AF79" t="s">
        <v>49</v>
      </c>
      <c r="AG79">
        <v>0</v>
      </c>
      <c r="AH79" s="1" t="s">
        <v>584</v>
      </c>
      <c r="AI79" t="s">
        <v>585</v>
      </c>
    </row>
    <row r="80" spans="1:35" x14ac:dyDescent="0.25">
      <c r="A80" t="s">
        <v>32</v>
      </c>
      <c r="B80" t="s">
        <v>32</v>
      </c>
      <c r="C80" t="s">
        <v>33</v>
      </c>
      <c r="D80" t="s">
        <v>34</v>
      </c>
      <c r="E80" t="s">
        <v>586</v>
      </c>
      <c r="F80" t="s">
        <v>587</v>
      </c>
      <c r="G80" s="3" t="s">
        <v>37</v>
      </c>
      <c r="H80" s="3" t="str">
        <f t="shared" si="3"/>
        <v>TK</v>
      </c>
      <c r="I80" s="3" t="str">
        <f t="shared" si="4"/>
        <v>0</v>
      </c>
      <c r="J80" s="3" t="str">
        <f t="shared" si="5"/>
        <v>TK/0</v>
      </c>
      <c r="K80" t="s">
        <v>60</v>
      </c>
      <c r="L80" t="s">
        <v>61</v>
      </c>
      <c r="M80" t="s">
        <v>40</v>
      </c>
      <c r="N80" t="s">
        <v>588</v>
      </c>
      <c r="O80" t="s">
        <v>42</v>
      </c>
      <c r="P80" t="s">
        <v>43</v>
      </c>
      <c r="Q80" s="3" t="s">
        <v>589</v>
      </c>
      <c r="R80" t="s">
        <v>590</v>
      </c>
      <c r="S80" t="s">
        <v>45</v>
      </c>
      <c r="T80" t="s">
        <v>65</v>
      </c>
      <c r="U80" t="s">
        <v>47</v>
      </c>
      <c r="V80" t="s">
        <v>48</v>
      </c>
      <c r="W80" t="s">
        <v>49</v>
      </c>
      <c r="X80" t="s">
        <v>49</v>
      </c>
      <c r="Y80" t="s">
        <v>49</v>
      </c>
      <c r="Z80" t="s">
        <v>50</v>
      </c>
      <c r="AA80" t="s">
        <v>51</v>
      </c>
      <c r="AB80" t="s">
        <v>66</v>
      </c>
      <c r="AC80" t="s">
        <v>66</v>
      </c>
      <c r="AD80" t="s">
        <v>54</v>
      </c>
      <c r="AE80" t="s">
        <v>55</v>
      </c>
      <c r="AF80" t="s">
        <v>49</v>
      </c>
      <c r="AG80">
        <v>0</v>
      </c>
      <c r="AH80" s="1" t="s">
        <v>591</v>
      </c>
      <c r="AI80" t="s">
        <v>592</v>
      </c>
    </row>
    <row r="81" spans="1:35" x14ac:dyDescent="0.25">
      <c r="A81" t="s">
        <v>32</v>
      </c>
      <c r="B81" t="s">
        <v>32</v>
      </c>
      <c r="C81" t="s">
        <v>33</v>
      </c>
      <c r="D81" t="s">
        <v>34</v>
      </c>
      <c r="E81" t="s">
        <v>593</v>
      </c>
      <c r="F81" t="s">
        <v>594</v>
      </c>
      <c r="G81" s="3" t="s">
        <v>37</v>
      </c>
      <c r="H81" s="3" t="str">
        <f t="shared" si="3"/>
        <v>TK</v>
      </c>
      <c r="I81" s="3" t="str">
        <f t="shared" si="4"/>
        <v>0</v>
      </c>
      <c r="J81" s="3" t="str">
        <f t="shared" si="5"/>
        <v>TK/0</v>
      </c>
      <c r="K81" t="s">
        <v>60</v>
      </c>
      <c r="L81" t="s">
        <v>61</v>
      </c>
      <c r="M81" t="s">
        <v>40</v>
      </c>
      <c r="N81" t="s">
        <v>595</v>
      </c>
      <c r="O81" t="s">
        <v>42</v>
      </c>
      <c r="P81" t="s">
        <v>43</v>
      </c>
      <c r="Q81" s="3" t="s">
        <v>596</v>
      </c>
      <c r="R81" t="s">
        <v>597</v>
      </c>
      <c r="S81" t="s">
        <v>45</v>
      </c>
      <c r="T81" t="s">
        <v>65</v>
      </c>
      <c r="U81" t="s">
        <v>47</v>
      </c>
      <c r="V81" t="s">
        <v>48</v>
      </c>
      <c r="W81" t="s">
        <v>49</v>
      </c>
      <c r="X81" t="s">
        <v>49</v>
      </c>
      <c r="Y81" t="s">
        <v>49</v>
      </c>
      <c r="Z81" t="s">
        <v>50</v>
      </c>
      <c r="AA81" t="s">
        <v>51</v>
      </c>
      <c r="AB81" t="s">
        <v>66</v>
      </c>
      <c r="AC81" t="s">
        <v>66</v>
      </c>
      <c r="AD81" t="s">
        <v>54</v>
      </c>
      <c r="AE81" t="s">
        <v>55</v>
      </c>
      <c r="AF81" t="s">
        <v>49</v>
      </c>
      <c r="AG81">
        <v>0</v>
      </c>
      <c r="AH81" s="1" t="s">
        <v>598</v>
      </c>
      <c r="AI81" t="s">
        <v>599</v>
      </c>
    </row>
    <row r="82" spans="1:35" x14ac:dyDescent="0.25">
      <c r="A82" t="s">
        <v>32</v>
      </c>
      <c r="B82" t="s">
        <v>32</v>
      </c>
      <c r="C82" t="s">
        <v>33</v>
      </c>
      <c r="D82" t="s">
        <v>34</v>
      </c>
      <c r="E82" t="s">
        <v>600</v>
      </c>
      <c r="F82" t="s">
        <v>601</v>
      </c>
      <c r="G82" s="3" t="s">
        <v>37</v>
      </c>
      <c r="H82" s="3" t="str">
        <f t="shared" si="3"/>
        <v>TK</v>
      </c>
      <c r="I82" s="3" t="str">
        <f t="shared" si="4"/>
        <v>0</v>
      </c>
      <c r="J82" s="3" t="str">
        <f t="shared" si="5"/>
        <v>TK/0</v>
      </c>
      <c r="K82" t="s">
        <v>60</v>
      </c>
      <c r="L82" t="s">
        <v>61</v>
      </c>
      <c r="M82" t="s">
        <v>40</v>
      </c>
      <c r="N82" t="s">
        <v>602</v>
      </c>
      <c r="O82" t="s">
        <v>42</v>
      </c>
      <c r="P82" t="s">
        <v>43</v>
      </c>
      <c r="Q82" s="3" t="s">
        <v>603</v>
      </c>
      <c r="R82" t="s">
        <v>604</v>
      </c>
      <c r="S82" t="s">
        <v>45</v>
      </c>
      <c r="T82" t="s">
        <v>65</v>
      </c>
      <c r="U82" t="s">
        <v>47</v>
      </c>
      <c r="V82" t="s">
        <v>48</v>
      </c>
      <c r="W82" t="s">
        <v>49</v>
      </c>
      <c r="X82" t="s">
        <v>49</v>
      </c>
      <c r="Y82" t="s">
        <v>49</v>
      </c>
      <c r="Z82" t="s">
        <v>50</v>
      </c>
      <c r="AA82" t="s">
        <v>51</v>
      </c>
      <c r="AB82" t="s">
        <v>66</v>
      </c>
      <c r="AC82" t="s">
        <v>66</v>
      </c>
      <c r="AD82" t="s">
        <v>54</v>
      </c>
      <c r="AE82" t="s">
        <v>55</v>
      </c>
      <c r="AF82" t="s">
        <v>49</v>
      </c>
      <c r="AG82">
        <v>0</v>
      </c>
      <c r="AH82" s="1" t="s">
        <v>605</v>
      </c>
      <c r="AI82" t="s">
        <v>606</v>
      </c>
    </row>
    <row r="83" spans="1:35" x14ac:dyDescent="0.25">
      <c r="A83" t="s">
        <v>32</v>
      </c>
      <c r="B83" t="s">
        <v>32</v>
      </c>
      <c r="C83" t="s">
        <v>33</v>
      </c>
      <c r="D83" t="s">
        <v>34</v>
      </c>
      <c r="E83" t="s">
        <v>607</v>
      </c>
      <c r="F83" t="s">
        <v>608</v>
      </c>
      <c r="G83" s="3" t="s">
        <v>37</v>
      </c>
      <c r="H83" s="3" t="str">
        <f t="shared" si="3"/>
        <v>TK</v>
      </c>
      <c r="I83" s="3" t="str">
        <f t="shared" si="4"/>
        <v>0</v>
      </c>
      <c r="J83" s="3" t="str">
        <f t="shared" si="5"/>
        <v>TK/0</v>
      </c>
      <c r="K83" t="s">
        <v>38</v>
      </c>
      <c r="L83" t="s">
        <v>39</v>
      </c>
      <c r="M83" t="s">
        <v>40</v>
      </c>
      <c r="N83" t="s">
        <v>609</v>
      </c>
      <c r="O83" t="s">
        <v>42</v>
      </c>
      <c r="P83" t="s">
        <v>43</v>
      </c>
      <c r="Q83" s="3" t="s">
        <v>610</v>
      </c>
      <c r="R83" t="s">
        <v>608</v>
      </c>
      <c r="S83" t="s">
        <v>45</v>
      </c>
      <c r="T83" t="s">
        <v>46</v>
      </c>
      <c r="U83" t="s">
        <v>47</v>
      </c>
      <c r="V83" t="s">
        <v>48</v>
      </c>
      <c r="W83" t="s">
        <v>49</v>
      </c>
      <c r="X83" t="s">
        <v>49</v>
      </c>
      <c r="Y83" t="s">
        <v>49</v>
      </c>
      <c r="Z83" t="s">
        <v>50</v>
      </c>
      <c r="AA83" t="s">
        <v>51</v>
      </c>
      <c r="AB83" t="s">
        <v>52</v>
      </c>
      <c r="AC83" t="s">
        <v>53</v>
      </c>
      <c r="AD83" t="s">
        <v>54</v>
      </c>
      <c r="AE83" t="s">
        <v>55</v>
      </c>
      <c r="AF83" t="s">
        <v>49</v>
      </c>
      <c r="AG83">
        <v>0</v>
      </c>
      <c r="AH83" s="1" t="s">
        <v>611</v>
      </c>
      <c r="AI83" t="s">
        <v>612</v>
      </c>
    </row>
    <row r="84" spans="1:35" x14ac:dyDescent="0.25">
      <c r="A84" t="s">
        <v>32</v>
      </c>
      <c r="B84" t="s">
        <v>32</v>
      </c>
      <c r="C84" t="s">
        <v>33</v>
      </c>
      <c r="D84" t="s">
        <v>34</v>
      </c>
      <c r="E84" t="s">
        <v>613</v>
      </c>
      <c r="F84" t="s">
        <v>614</v>
      </c>
      <c r="G84" s="3" t="s">
        <v>37</v>
      </c>
      <c r="H84" s="3" t="str">
        <f t="shared" si="3"/>
        <v>K</v>
      </c>
      <c r="I84" s="3" t="str">
        <f t="shared" si="4"/>
        <v>2</v>
      </c>
      <c r="J84" s="3" t="str">
        <f t="shared" si="5"/>
        <v>K/2</v>
      </c>
      <c r="K84" t="s">
        <v>38</v>
      </c>
      <c r="L84" t="s">
        <v>39</v>
      </c>
      <c r="M84" t="s">
        <v>40</v>
      </c>
      <c r="N84" t="s">
        <v>615</v>
      </c>
      <c r="O84" t="s">
        <v>42</v>
      </c>
      <c r="P84" t="s">
        <v>43</v>
      </c>
      <c r="Q84" s="3" t="s">
        <v>616</v>
      </c>
      <c r="R84" t="s">
        <v>614</v>
      </c>
      <c r="S84" t="s">
        <v>45</v>
      </c>
      <c r="T84" t="s">
        <v>46</v>
      </c>
      <c r="U84" t="s">
        <v>82</v>
      </c>
      <c r="V84" t="s">
        <v>48</v>
      </c>
      <c r="W84" t="s">
        <v>49</v>
      </c>
      <c r="X84" t="s">
        <v>49</v>
      </c>
      <c r="Y84" t="s">
        <v>49</v>
      </c>
      <c r="Z84" t="s">
        <v>50</v>
      </c>
      <c r="AA84" t="s">
        <v>51</v>
      </c>
      <c r="AB84" t="s">
        <v>52</v>
      </c>
      <c r="AC84" t="s">
        <v>53</v>
      </c>
      <c r="AD84" t="s">
        <v>54</v>
      </c>
      <c r="AE84" t="s">
        <v>55</v>
      </c>
      <c r="AF84" t="s">
        <v>49</v>
      </c>
      <c r="AG84">
        <v>0</v>
      </c>
      <c r="AH84" s="1" t="s">
        <v>617</v>
      </c>
      <c r="AI84" t="s">
        <v>618</v>
      </c>
    </row>
    <row r="85" spans="1:35" x14ac:dyDescent="0.25">
      <c r="A85" t="s">
        <v>32</v>
      </c>
      <c r="B85" t="s">
        <v>32</v>
      </c>
      <c r="C85" t="s">
        <v>33</v>
      </c>
      <c r="D85" t="s">
        <v>34</v>
      </c>
      <c r="E85" t="s">
        <v>619</v>
      </c>
      <c r="F85" t="s">
        <v>620</v>
      </c>
      <c r="G85" s="3" t="s">
        <v>37</v>
      </c>
      <c r="H85" s="3" t="str">
        <f t="shared" si="3"/>
        <v>TK</v>
      </c>
      <c r="I85" s="3" t="str">
        <f t="shared" si="4"/>
        <v>0</v>
      </c>
      <c r="J85" s="3" t="str">
        <f t="shared" si="5"/>
        <v>TK/0</v>
      </c>
      <c r="K85" t="s">
        <v>38</v>
      </c>
      <c r="L85" t="s">
        <v>39</v>
      </c>
      <c r="M85" t="s">
        <v>40</v>
      </c>
      <c r="N85" t="s">
        <v>621</v>
      </c>
      <c r="O85" t="s">
        <v>42</v>
      </c>
      <c r="P85" t="s">
        <v>43</v>
      </c>
      <c r="Q85" s="3" t="s">
        <v>622</v>
      </c>
      <c r="R85" t="s">
        <v>620</v>
      </c>
      <c r="S85" t="s">
        <v>45</v>
      </c>
      <c r="T85" t="s">
        <v>46</v>
      </c>
      <c r="U85" t="s">
        <v>47</v>
      </c>
      <c r="V85" t="s">
        <v>48</v>
      </c>
      <c r="W85" t="s">
        <v>49</v>
      </c>
      <c r="X85" t="s">
        <v>49</v>
      </c>
      <c r="Y85" t="s">
        <v>49</v>
      </c>
      <c r="Z85" t="s">
        <v>50</v>
      </c>
      <c r="AA85" t="s">
        <v>51</v>
      </c>
      <c r="AB85" t="s">
        <v>66</v>
      </c>
      <c r="AC85" t="s">
        <v>66</v>
      </c>
      <c r="AD85" t="s">
        <v>54</v>
      </c>
      <c r="AE85" t="s">
        <v>55</v>
      </c>
      <c r="AF85" t="s">
        <v>49</v>
      </c>
      <c r="AG85">
        <v>0</v>
      </c>
      <c r="AH85" s="1" t="s">
        <v>623</v>
      </c>
      <c r="AI85" t="s">
        <v>624</v>
      </c>
    </row>
    <row r="86" spans="1:35" x14ac:dyDescent="0.25">
      <c r="A86" t="s">
        <v>32</v>
      </c>
      <c r="B86" t="s">
        <v>32</v>
      </c>
      <c r="C86" t="s">
        <v>33</v>
      </c>
      <c r="D86" t="s">
        <v>34</v>
      </c>
      <c r="E86" t="s">
        <v>625</v>
      </c>
      <c r="F86" t="s">
        <v>626</v>
      </c>
      <c r="G86" s="3" t="s">
        <v>37</v>
      </c>
      <c r="H86" s="3" t="str">
        <f t="shared" si="3"/>
        <v>K</v>
      </c>
      <c r="I86" s="3" t="str">
        <f t="shared" si="4"/>
        <v>2</v>
      </c>
      <c r="J86" s="3" t="str">
        <f t="shared" si="5"/>
        <v>K/2</v>
      </c>
      <c r="K86" t="s">
        <v>38</v>
      </c>
      <c r="L86" t="s">
        <v>39</v>
      </c>
      <c r="M86" t="s">
        <v>40</v>
      </c>
      <c r="N86" t="s">
        <v>627</v>
      </c>
      <c r="O86" t="s">
        <v>42</v>
      </c>
      <c r="P86" t="s">
        <v>43</v>
      </c>
      <c r="Q86" s="3" t="s">
        <v>628</v>
      </c>
      <c r="R86" t="s">
        <v>626</v>
      </c>
      <c r="S86" t="s">
        <v>45</v>
      </c>
      <c r="T86" t="s">
        <v>46</v>
      </c>
      <c r="U86" t="s">
        <v>82</v>
      </c>
      <c r="V86" t="s">
        <v>48</v>
      </c>
      <c r="W86" t="s">
        <v>49</v>
      </c>
      <c r="X86" t="s">
        <v>49</v>
      </c>
      <c r="Y86" t="s">
        <v>49</v>
      </c>
      <c r="Z86" t="s">
        <v>50</v>
      </c>
      <c r="AA86" t="s">
        <v>51</v>
      </c>
      <c r="AB86" t="s">
        <v>52</v>
      </c>
      <c r="AC86" t="s">
        <v>53</v>
      </c>
      <c r="AD86" t="s">
        <v>54</v>
      </c>
      <c r="AE86" t="s">
        <v>55</v>
      </c>
      <c r="AF86" t="s">
        <v>49</v>
      </c>
      <c r="AG86">
        <v>0</v>
      </c>
      <c r="AH86" s="1" t="s">
        <v>629</v>
      </c>
      <c r="AI86" t="s">
        <v>630</v>
      </c>
    </row>
    <row r="87" spans="1:35" x14ac:dyDescent="0.25">
      <c r="A87" t="s">
        <v>32</v>
      </c>
      <c r="B87" t="s">
        <v>32</v>
      </c>
      <c r="C87" t="s">
        <v>33</v>
      </c>
      <c r="D87" t="s">
        <v>34</v>
      </c>
      <c r="E87" t="s">
        <v>631</v>
      </c>
      <c r="F87" t="s">
        <v>632</v>
      </c>
      <c r="G87" s="3" t="s">
        <v>180</v>
      </c>
      <c r="H87" s="3" t="str">
        <f t="shared" si="3"/>
        <v>K</v>
      </c>
      <c r="I87" s="3" t="str">
        <f t="shared" si="4"/>
        <v>1</v>
      </c>
      <c r="J87" s="3" t="str">
        <f t="shared" si="5"/>
        <v>TK/0</v>
      </c>
      <c r="K87" t="s">
        <v>87</v>
      </c>
      <c r="L87" t="s">
        <v>88</v>
      </c>
      <c r="M87" t="s">
        <v>633</v>
      </c>
      <c r="N87" t="s">
        <v>634</v>
      </c>
      <c r="O87" t="s">
        <v>42</v>
      </c>
      <c r="P87" t="s">
        <v>43</v>
      </c>
      <c r="Q87" s="3" t="s">
        <v>635</v>
      </c>
      <c r="R87" t="s">
        <v>632</v>
      </c>
      <c r="S87" t="s">
        <v>45</v>
      </c>
      <c r="T87" t="s">
        <v>636</v>
      </c>
      <c r="U87" t="s">
        <v>73</v>
      </c>
      <c r="V87" t="s">
        <v>48</v>
      </c>
      <c r="W87" t="s">
        <v>49</v>
      </c>
      <c r="X87" t="s">
        <v>49</v>
      </c>
      <c r="Y87" t="s">
        <v>49</v>
      </c>
      <c r="Z87" t="s">
        <v>50</v>
      </c>
      <c r="AA87" t="s">
        <v>51</v>
      </c>
      <c r="AB87" t="s">
        <v>66</v>
      </c>
      <c r="AC87" t="s">
        <v>66</v>
      </c>
      <c r="AD87" t="s">
        <v>637</v>
      </c>
      <c r="AE87" t="s">
        <v>55</v>
      </c>
      <c r="AF87" t="s">
        <v>49</v>
      </c>
      <c r="AG87">
        <v>0</v>
      </c>
      <c r="AH87" s="1" t="s">
        <v>638</v>
      </c>
      <c r="AI87" t="s">
        <v>639</v>
      </c>
    </row>
    <row r="88" spans="1:35" x14ac:dyDescent="0.25">
      <c r="A88" t="s">
        <v>32</v>
      </c>
      <c r="B88" t="s">
        <v>32</v>
      </c>
      <c r="C88" t="s">
        <v>33</v>
      </c>
      <c r="D88" t="s">
        <v>34</v>
      </c>
      <c r="E88" t="s">
        <v>640</v>
      </c>
      <c r="F88" t="s">
        <v>641</v>
      </c>
      <c r="G88" s="3" t="s">
        <v>37</v>
      </c>
      <c r="H88" s="3" t="str">
        <f t="shared" si="3"/>
        <v>K</v>
      </c>
      <c r="I88" s="3" t="str">
        <f t="shared" si="4"/>
        <v>2</v>
      </c>
      <c r="J88" s="3" t="str">
        <f t="shared" si="5"/>
        <v>K/2</v>
      </c>
      <c r="K88" t="s">
        <v>205</v>
      </c>
      <c r="L88" t="s">
        <v>206</v>
      </c>
      <c r="M88" t="s">
        <v>89</v>
      </c>
      <c r="N88" t="s">
        <v>642</v>
      </c>
      <c r="O88" t="s">
        <v>42</v>
      </c>
      <c r="P88" t="s">
        <v>43</v>
      </c>
      <c r="Q88" s="3" t="s">
        <v>643</v>
      </c>
      <c r="R88" t="s">
        <v>641</v>
      </c>
      <c r="S88" t="s">
        <v>45</v>
      </c>
      <c r="T88" t="s">
        <v>644</v>
      </c>
      <c r="U88" t="s">
        <v>82</v>
      </c>
      <c r="V88" t="s">
        <v>48</v>
      </c>
      <c r="W88" t="s">
        <v>49</v>
      </c>
      <c r="X88" t="s">
        <v>49</v>
      </c>
      <c r="Y88" t="s">
        <v>49</v>
      </c>
      <c r="Z88" t="s">
        <v>50</v>
      </c>
      <c r="AA88" t="s">
        <v>51</v>
      </c>
      <c r="AB88" t="s">
        <v>66</v>
      </c>
      <c r="AC88" t="s">
        <v>66</v>
      </c>
      <c r="AD88" t="s">
        <v>93</v>
      </c>
      <c r="AE88" t="s">
        <v>55</v>
      </c>
      <c r="AF88" t="s">
        <v>49</v>
      </c>
      <c r="AG88">
        <v>0</v>
      </c>
      <c r="AH88" s="1" t="s">
        <v>645</v>
      </c>
      <c r="AI88" t="s">
        <v>646</v>
      </c>
    </row>
    <row r="89" spans="1:35" x14ac:dyDescent="0.25">
      <c r="A89" t="s">
        <v>32</v>
      </c>
      <c r="B89" t="s">
        <v>32</v>
      </c>
      <c r="C89" t="s">
        <v>33</v>
      </c>
      <c r="D89" t="s">
        <v>34</v>
      </c>
      <c r="E89" t="s">
        <v>647</v>
      </c>
      <c r="F89" t="s">
        <v>648</v>
      </c>
      <c r="G89" s="3" t="s">
        <v>37</v>
      </c>
      <c r="H89" s="3" t="str">
        <f t="shared" si="3"/>
        <v>K</v>
      </c>
      <c r="I89" s="3" t="str">
        <f t="shared" si="4"/>
        <v>1</v>
      </c>
      <c r="J89" s="3" t="str">
        <f t="shared" si="5"/>
        <v>K/1</v>
      </c>
      <c r="K89" t="s">
        <v>87</v>
      </c>
      <c r="L89" t="s">
        <v>88</v>
      </c>
      <c r="M89" t="s">
        <v>207</v>
      </c>
      <c r="N89" t="s">
        <v>649</v>
      </c>
      <c r="O89" t="s">
        <v>42</v>
      </c>
      <c r="P89" t="s">
        <v>43</v>
      </c>
      <c r="Q89" s="3" t="s">
        <v>650</v>
      </c>
      <c r="R89" t="s">
        <v>651</v>
      </c>
      <c r="S89" t="s">
        <v>45</v>
      </c>
      <c r="T89" t="s">
        <v>583</v>
      </c>
      <c r="U89" t="s">
        <v>73</v>
      </c>
      <c r="V89" t="s">
        <v>48</v>
      </c>
      <c r="W89" t="s">
        <v>49</v>
      </c>
      <c r="X89" t="s">
        <v>49</v>
      </c>
      <c r="Y89" t="s">
        <v>49</v>
      </c>
      <c r="Z89" t="s">
        <v>50</v>
      </c>
      <c r="AA89" t="s">
        <v>51</v>
      </c>
      <c r="AB89" t="s">
        <v>52</v>
      </c>
      <c r="AC89" t="s">
        <v>53</v>
      </c>
      <c r="AD89" t="s">
        <v>212</v>
      </c>
      <c r="AE89" t="s">
        <v>55</v>
      </c>
      <c r="AF89" t="s">
        <v>49</v>
      </c>
      <c r="AG89">
        <v>124027</v>
      </c>
      <c r="AH89" s="1" t="s">
        <v>652</v>
      </c>
      <c r="AI89" t="s">
        <v>653</v>
      </c>
    </row>
    <row r="90" spans="1:35" x14ac:dyDescent="0.25">
      <c r="A90" t="s">
        <v>32</v>
      </c>
      <c r="B90" t="s">
        <v>32</v>
      </c>
      <c r="C90" t="s">
        <v>33</v>
      </c>
      <c r="D90" t="s">
        <v>34</v>
      </c>
      <c r="E90" t="s">
        <v>654</v>
      </c>
      <c r="F90" t="s">
        <v>655</v>
      </c>
      <c r="G90" s="3" t="s">
        <v>180</v>
      </c>
      <c r="H90" s="3" t="str">
        <f t="shared" si="3"/>
        <v>TK</v>
      </c>
      <c r="I90" s="3" t="str">
        <f t="shared" si="4"/>
        <v>0</v>
      </c>
      <c r="J90" s="3" t="str">
        <f t="shared" si="5"/>
        <v>TK/0</v>
      </c>
      <c r="K90" t="s">
        <v>60</v>
      </c>
      <c r="L90" t="s">
        <v>61</v>
      </c>
      <c r="M90" t="s">
        <v>40</v>
      </c>
      <c r="N90" t="s">
        <v>656</v>
      </c>
      <c r="O90" t="s">
        <v>42</v>
      </c>
      <c r="P90" t="s">
        <v>43</v>
      </c>
      <c r="Q90" s="3" t="s">
        <v>657</v>
      </c>
      <c r="R90" t="s">
        <v>658</v>
      </c>
      <c r="S90" t="s">
        <v>45</v>
      </c>
      <c r="T90" t="s">
        <v>65</v>
      </c>
      <c r="U90" t="s">
        <v>47</v>
      </c>
      <c r="V90" t="s">
        <v>48</v>
      </c>
      <c r="W90" t="s">
        <v>49</v>
      </c>
      <c r="X90" t="s">
        <v>49</v>
      </c>
      <c r="Y90" t="s">
        <v>49</v>
      </c>
      <c r="Z90" t="s">
        <v>50</v>
      </c>
      <c r="AA90" t="s">
        <v>51</v>
      </c>
      <c r="AB90" t="s">
        <v>66</v>
      </c>
      <c r="AC90" t="s">
        <v>66</v>
      </c>
      <c r="AD90" t="s">
        <v>54</v>
      </c>
      <c r="AE90" t="s">
        <v>55</v>
      </c>
      <c r="AF90" t="s">
        <v>49</v>
      </c>
      <c r="AG90">
        <v>0</v>
      </c>
      <c r="AH90" s="1" t="s">
        <v>659</v>
      </c>
      <c r="AI90" t="s">
        <v>660</v>
      </c>
    </row>
    <row r="91" spans="1:35" x14ac:dyDescent="0.25">
      <c r="A91" t="s">
        <v>32</v>
      </c>
      <c r="B91" t="s">
        <v>32</v>
      </c>
      <c r="C91" t="s">
        <v>33</v>
      </c>
      <c r="D91" t="s">
        <v>34</v>
      </c>
      <c r="E91" t="s">
        <v>661</v>
      </c>
      <c r="F91" t="s">
        <v>662</v>
      </c>
      <c r="G91" s="3" t="s">
        <v>180</v>
      </c>
      <c r="H91" s="3" t="str">
        <f t="shared" si="3"/>
        <v>K</v>
      </c>
      <c r="I91" s="3" t="str">
        <f t="shared" si="4"/>
        <v>1</v>
      </c>
      <c r="J91" s="3" t="str">
        <f t="shared" si="5"/>
        <v>TK/0</v>
      </c>
      <c r="K91" t="s">
        <v>38</v>
      </c>
      <c r="L91" t="s">
        <v>39</v>
      </c>
      <c r="M91" t="s">
        <v>40</v>
      </c>
      <c r="N91" t="s">
        <v>663</v>
      </c>
      <c r="O91" t="s">
        <v>42</v>
      </c>
      <c r="P91" t="s">
        <v>43</v>
      </c>
      <c r="Q91" s="3" t="s">
        <v>664</v>
      </c>
      <c r="R91" t="s">
        <v>662</v>
      </c>
      <c r="S91" t="s">
        <v>45</v>
      </c>
      <c r="T91" t="s">
        <v>46</v>
      </c>
      <c r="U91" t="s">
        <v>73</v>
      </c>
      <c r="V91" t="s">
        <v>48</v>
      </c>
      <c r="W91" t="s">
        <v>49</v>
      </c>
      <c r="X91" t="s">
        <v>49</v>
      </c>
      <c r="Y91" t="s">
        <v>49</v>
      </c>
      <c r="Z91" t="s">
        <v>50</v>
      </c>
      <c r="AA91" t="s">
        <v>51</v>
      </c>
      <c r="AB91" t="s">
        <v>52</v>
      </c>
      <c r="AC91" t="s">
        <v>53</v>
      </c>
      <c r="AD91" t="s">
        <v>54</v>
      </c>
      <c r="AE91" t="s">
        <v>55</v>
      </c>
      <c r="AF91" t="s">
        <v>49</v>
      </c>
      <c r="AG91">
        <v>0</v>
      </c>
      <c r="AH91" s="1" t="s">
        <v>665</v>
      </c>
      <c r="AI91" t="s">
        <v>666</v>
      </c>
    </row>
    <row r="92" spans="1:35" x14ac:dyDescent="0.25">
      <c r="A92" t="s">
        <v>32</v>
      </c>
      <c r="B92" t="s">
        <v>32</v>
      </c>
      <c r="C92" t="s">
        <v>33</v>
      </c>
      <c r="D92" t="s">
        <v>34</v>
      </c>
      <c r="E92" t="s">
        <v>667</v>
      </c>
      <c r="F92" t="s">
        <v>668</v>
      </c>
      <c r="G92" s="3" t="s">
        <v>37</v>
      </c>
      <c r="H92" s="3" t="str">
        <f t="shared" si="3"/>
        <v>TK</v>
      </c>
      <c r="I92" s="3" t="str">
        <f t="shared" si="4"/>
        <v>0</v>
      </c>
      <c r="J92" s="3" t="str">
        <f t="shared" si="5"/>
        <v>TK/0</v>
      </c>
      <c r="K92" t="s">
        <v>38</v>
      </c>
      <c r="L92" t="s">
        <v>39</v>
      </c>
      <c r="M92" t="s">
        <v>40</v>
      </c>
      <c r="N92" t="s">
        <v>669</v>
      </c>
      <c r="O92" t="s">
        <v>42</v>
      </c>
      <c r="P92" t="s">
        <v>43</v>
      </c>
      <c r="Q92" s="3" t="s">
        <v>670</v>
      </c>
      <c r="R92" t="s">
        <v>668</v>
      </c>
      <c r="S92" t="s">
        <v>45</v>
      </c>
      <c r="T92" t="s">
        <v>46</v>
      </c>
      <c r="U92" t="s">
        <v>47</v>
      </c>
      <c r="V92" t="s">
        <v>48</v>
      </c>
      <c r="W92" t="s">
        <v>49</v>
      </c>
      <c r="X92" t="s">
        <v>49</v>
      </c>
      <c r="Y92" t="s">
        <v>49</v>
      </c>
      <c r="Z92" t="s">
        <v>50</v>
      </c>
      <c r="AA92" t="s">
        <v>51</v>
      </c>
      <c r="AB92" t="s">
        <v>52</v>
      </c>
      <c r="AC92" t="s">
        <v>53</v>
      </c>
      <c r="AD92" t="s">
        <v>54</v>
      </c>
      <c r="AE92" t="s">
        <v>55</v>
      </c>
      <c r="AF92" t="s">
        <v>49</v>
      </c>
      <c r="AG92">
        <v>0</v>
      </c>
      <c r="AH92" s="1" t="s">
        <v>671</v>
      </c>
      <c r="AI92" t="s">
        <v>672</v>
      </c>
    </row>
    <row r="93" spans="1:35" x14ac:dyDescent="0.25">
      <c r="A93" t="s">
        <v>32</v>
      </c>
      <c r="B93" t="s">
        <v>32</v>
      </c>
      <c r="C93" t="s">
        <v>33</v>
      </c>
      <c r="D93" t="s">
        <v>34</v>
      </c>
      <c r="E93" t="s">
        <v>673</v>
      </c>
      <c r="F93" t="s">
        <v>674</v>
      </c>
      <c r="G93" s="3" t="s">
        <v>37</v>
      </c>
      <c r="H93" s="3" t="str">
        <f t="shared" si="3"/>
        <v>K</v>
      </c>
      <c r="I93" s="3" t="str">
        <f t="shared" si="4"/>
        <v>0</v>
      </c>
      <c r="J93" s="3" t="str">
        <f t="shared" si="5"/>
        <v>K/0</v>
      </c>
      <c r="K93" t="s">
        <v>60</v>
      </c>
      <c r="L93" t="s">
        <v>61</v>
      </c>
      <c r="M93" t="s">
        <v>40</v>
      </c>
      <c r="N93" t="s">
        <v>675</v>
      </c>
      <c r="O93" t="s">
        <v>42</v>
      </c>
      <c r="P93" t="s">
        <v>43</v>
      </c>
      <c r="Q93" s="3" t="s">
        <v>676</v>
      </c>
      <c r="R93" t="s">
        <v>674</v>
      </c>
      <c r="S93" t="s">
        <v>45</v>
      </c>
      <c r="T93" t="s">
        <v>65</v>
      </c>
      <c r="U93" t="s">
        <v>148</v>
      </c>
      <c r="V93" t="s">
        <v>48</v>
      </c>
      <c r="W93" t="s">
        <v>49</v>
      </c>
      <c r="X93" t="s">
        <v>49</v>
      </c>
      <c r="Y93" t="s">
        <v>49</v>
      </c>
      <c r="Z93" t="s">
        <v>50</v>
      </c>
      <c r="AA93" t="s">
        <v>51</v>
      </c>
      <c r="AB93" t="s">
        <v>66</v>
      </c>
      <c r="AC93" t="s">
        <v>66</v>
      </c>
      <c r="AD93" t="s">
        <v>54</v>
      </c>
      <c r="AE93" t="s">
        <v>55</v>
      </c>
      <c r="AF93" t="s">
        <v>49</v>
      </c>
      <c r="AG93">
        <v>0</v>
      </c>
      <c r="AH93" s="1" t="s">
        <v>677</v>
      </c>
      <c r="AI93" t="s">
        <v>678</v>
      </c>
    </row>
    <row r="94" spans="1:35" x14ac:dyDescent="0.25">
      <c r="A94" t="s">
        <v>32</v>
      </c>
      <c r="B94" t="s">
        <v>32</v>
      </c>
      <c r="C94" t="s">
        <v>33</v>
      </c>
      <c r="D94" t="s">
        <v>34</v>
      </c>
      <c r="E94" t="s">
        <v>679</v>
      </c>
      <c r="F94" t="s">
        <v>680</v>
      </c>
      <c r="G94" s="3" t="s">
        <v>37</v>
      </c>
      <c r="H94" s="3" t="str">
        <f t="shared" si="3"/>
        <v>K</v>
      </c>
      <c r="I94" s="3" t="str">
        <f t="shared" si="4"/>
        <v>2</v>
      </c>
      <c r="J94" s="3" t="str">
        <f t="shared" si="5"/>
        <v>K/2</v>
      </c>
      <c r="K94" t="s">
        <v>38</v>
      </c>
      <c r="L94" t="s">
        <v>39</v>
      </c>
      <c r="M94" t="s">
        <v>40</v>
      </c>
      <c r="N94" t="s">
        <v>681</v>
      </c>
      <c r="O94" t="s">
        <v>42</v>
      </c>
      <c r="P94" t="s">
        <v>43</v>
      </c>
      <c r="Q94" s="3" t="s">
        <v>682</v>
      </c>
      <c r="R94" t="s">
        <v>680</v>
      </c>
      <c r="S94" t="s">
        <v>45</v>
      </c>
      <c r="T94" t="s">
        <v>46</v>
      </c>
      <c r="U94" t="s">
        <v>82</v>
      </c>
      <c r="V94" t="s">
        <v>48</v>
      </c>
      <c r="W94" t="s">
        <v>49</v>
      </c>
      <c r="X94" t="s">
        <v>49</v>
      </c>
      <c r="Y94" t="s">
        <v>49</v>
      </c>
      <c r="Z94" t="s">
        <v>50</v>
      </c>
      <c r="AA94" t="s">
        <v>51</v>
      </c>
      <c r="AB94" t="s">
        <v>52</v>
      </c>
      <c r="AC94" t="s">
        <v>53</v>
      </c>
      <c r="AD94" t="s">
        <v>54</v>
      </c>
      <c r="AE94" t="s">
        <v>55</v>
      </c>
      <c r="AF94" t="s">
        <v>49</v>
      </c>
      <c r="AG94">
        <v>0</v>
      </c>
      <c r="AH94" s="1" t="s">
        <v>683</v>
      </c>
      <c r="AI94" t="s">
        <v>684</v>
      </c>
    </row>
    <row r="95" spans="1:35" x14ac:dyDescent="0.25">
      <c r="A95" t="s">
        <v>32</v>
      </c>
      <c r="B95" t="s">
        <v>32</v>
      </c>
      <c r="C95" t="s">
        <v>33</v>
      </c>
      <c r="D95" t="s">
        <v>34</v>
      </c>
      <c r="E95" t="s">
        <v>685</v>
      </c>
      <c r="F95" t="s">
        <v>686</v>
      </c>
      <c r="G95" s="3" t="s">
        <v>37</v>
      </c>
      <c r="H95" s="3" t="str">
        <f t="shared" si="3"/>
        <v>K</v>
      </c>
      <c r="I95" s="3" t="str">
        <f t="shared" si="4"/>
        <v>2</v>
      </c>
      <c r="J95" s="3" t="str">
        <f t="shared" si="5"/>
        <v>K/2</v>
      </c>
      <c r="K95" t="s">
        <v>87</v>
      </c>
      <c r="L95" t="s">
        <v>88</v>
      </c>
      <c r="M95" t="s">
        <v>89</v>
      </c>
      <c r="N95" t="s">
        <v>687</v>
      </c>
      <c r="O95" t="s">
        <v>42</v>
      </c>
      <c r="P95" t="s">
        <v>43</v>
      </c>
      <c r="Q95" s="3" t="s">
        <v>688</v>
      </c>
      <c r="R95" t="s">
        <v>686</v>
      </c>
      <c r="S95" t="s">
        <v>45</v>
      </c>
      <c r="T95" t="s">
        <v>166</v>
      </c>
      <c r="U95" t="s">
        <v>82</v>
      </c>
      <c r="V95" t="s">
        <v>48</v>
      </c>
      <c r="W95" t="s">
        <v>49</v>
      </c>
      <c r="X95" t="s">
        <v>49</v>
      </c>
      <c r="Y95" t="s">
        <v>49</v>
      </c>
      <c r="Z95" t="s">
        <v>50</v>
      </c>
      <c r="AA95" t="s">
        <v>51</v>
      </c>
      <c r="AB95" t="s">
        <v>66</v>
      </c>
      <c r="AC95" t="s">
        <v>66</v>
      </c>
      <c r="AD95" t="s">
        <v>93</v>
      </c>
      <c r="AE95" t="s">
        <v>55</v>
      </c>
      <c r="AF95" t="s">
        <v>49</v>
      </c>
      <c r="AG95">
        <v>62014</v>
      </c>
      <c r="AH95" s="1" t="s">
        <v>689</v>
      </c>
      <c r="AI95" t="s">
        <v>690</v>
      </c>
    </row>
    <row r="96" spans="1:35" x14ac:dyDescent="0.25">
      <c r="A96" t="s">
        <v>32</v>
      </c>
      <c r="B96" t="s">
        <v>32</v>
      </c>
      <c r="C96" t="s">
        <v>33</v>
      </c>
      <c r="D96" t="s">
        <v>34</v>
      </c>
      <c r="E96" t="s">
        <v>691</v>
      </c>
      <c r="F96" t="s">
        <v>692</v>
      </c>
      <c r="G96" s="3" t="s">
        <v>37</v>
      </c>
      <c r="H96" s="3" t="str">
        <f t="shared" si="3"/>
        <v>K</v>
      </c>
      <c r="I96" s="3" t="str">
        <f t="shared" si="4"/>
        <v>2</v>
      </c>
      <c r="J96" s="3" t="str">
        <f t="shared" si="5"/>
        <v>K/2</v>
      </c>
      <c r="K96" t="s">
        <v>38</v>
      </c>
      <c r="L96" t="s">
        <v>39</v>
      </c>
      <c r="M96" t="s">
        <v>40</v>
      </c>
      <c r="N96" t="s">
        <v>693</v>
      </c>
      <c r="O96" t="s">
        <v>42</v>
      </c>
      <c r="P96" t="s">
        <v>43</v>
      </c>
      <c r="Q96" s="3" t="s">
        <v>694</v>
      </c>
      <c r="R96" t="s">
        <v>692</v>
      </c>
      <c r="S96" t="s">
        <v>45</v>
      </c>
      <c r="T96" t="s">
        <v>46</v>
      </c>
      <c r="U96" t="s">
        <v>82</v>
      </c>
      <c r="V96" t="s">
        <v>48</v>
      </c>
      <c r="W96" t="s">
        <v>49</v>
      </c>
      <c r="X96" t="s">
        <v>49</v>
      </c>
      <c r="Y96" t="s">
        <v>49</v>
      </c>
      <c r="Z96" t="s">
        <v>50</v>
      </c>
      <c r="AA96" t="s">
        <v>51</v>
      </c>
      <c r="AB96" t="s">
        <v>66</v>
      </c>
      <c r="AC96" t="s">
        <v>66</v>
      </c>
      <c r="AD96" t="s">
        <v>54</v>
      </c>
      <c r="AE96" t="s">
        <v>55</v>
      </c>
      <c r="AF96" t="s">
        <v>49</v>
      </c>
      <c r="AG96">
        <v>62014</v>
      </c>
      <c r="AH96" s="1" t="s">
        <v>695</v>
      </c>
      <c r="AI96" t="s">
        <v>696</v>
      </c>
    </row>
    <row r="97" spans="1:35" x14ac:dyDescent="0.25">
      <c r="A97" t="s">
        <v>32</v>
      </c>
      <c r="B97" t="s">
        <v>32</v>
      </c>
      <c r="C97" t="s">
        <v>33</v>
      </c>
      <c r="D97" t="s">
        <v>34</v>
      </c>
      <c r="E97" t="s">
        <v>697</v>
      </c>
      <c r="F97" t="s">
        <v>698</v>
      </c>
      <c r="G97" s="3" t="s">
        <v>37</v>
      </c>
      <c r="H97" s="3" t="str">
        <f t="shared" si="3"/>
        <v>TK</v>
      </c>
      <c r="I97" s="3" t="str">
        <f t="shared" si="4"/>
        <v>0</v>
      </c>
      <c r="J97" s="3" t="str">
        <f t="shared" si="5"/>
        <v>TK/0</v>
      </c>
      <c r="K97" t="s">
        <v>60</v>
      </c>
      <c r="L97" t="s">
        <v>61</v>
      </c>
      <c r="M97" t="s">
        <v>40</v>
      </c>
      <c r="N97" t="s">
        <v>699</v>
      </c>
      <c r="O97" t="s">
        <v>42</v>
      </c>
      <c r="P97" t="s">
        <v>43</v>
      </c>
      <c r="Q97" s="3" t="s">
        <v>700</v>
      </c>
      <c r="R97" t="s">
        <v>701</v>
      </c>
      <c r="S97" t="s">
        <v>45</v>
      </c>
      <c r="T97" t="s">
        <v>65</v>
      </c>
      <c r="U97" t="s">
        <v>47</v>
      </c>
      <c r="V97" t="s">
        <v>48</v>
      </c>
      <c r="W97" t="s">
        <v>49</v>
      </c>
      <c r="X97" t="s">
        <v>49</v>
      </c>
      <c r="Y97" t="s">
        <v>49</v>
      </c>
      <c r="Z97" t="s">
        <v>50</v>
      </c>
      <c r="AA97" t="s">
        <v>51</v>
      </c>
      <c r="AB97" t="s">
        <v>66</v>
      </c>
      <c r="AC97" t="s">
        <v>66</v>
      </c>
      <c r="AD97" t="s">
        <v>54</v>
      </c>
      <c r="AE97" t="s">
        <v>55</v>
      </c>
      <c r="AF97" t="s">
        <v>49</v>
      </c>
      <c r="AG97">
        <v>62014</v>
      </c>
      <c r="AH97" s="1" t="s">
        <v>702</v>
      </c>
      <c r="AI97" t="s">
        <v>703</v>
      </c>
    </row>
    <row r="98" spans="1:35" x14ac:dyDescent="0.25">
      <c r="A98" t="s">
        <v>32</v>
      </c>
      <c r="B98" t="s">
        <v>32</v>
      </c>
      <c r="C98" t="s">
        <v>33</v>
      </c>
      <c r="D98" t="s">
        <v>34</v>
      </c>
      <c r="E98" t="s">
        <v>704</v>
      </c>
      <c r="F98" t="s">
        <v>705</v>
      </c>
      <c r="G98" s="3" t="s">
        <v>37</v>
      </c>
      <c r="H98" s="3" t="str">
        <f t="shared" si="3"/>
        <v>TK</v>
      </c>
      <c r="I98" s="3" t="str">
        <f t="shared" si="4"/>
        <v>0</v>
      </c>
      <c r="J98" s="3" t="str">
        <f t="shared" si="5"/>
        <v>TK/0</v>
      </c>
      <c r="K98" t="s">
        <v>60</v>
      </c>
      <c r="L98" t="s">
        <v>61</v>
      </c>
      <c r="M98" t="s">
        <v>40</v>
      </c>
      <c r="N98" t="s">
        <v>706</v>
      </c>
      <c r="O98" t="s">
        <v>42</v>
      </c>
      <c r="P98" t="s">
        <v>43</v>
      </c>
      <c r="Q98" s="3" t="s">
        <v>707</v>
      </c>
      <c r="R98" t="s">
        <v>708</v>
      </c>
      <c r="S98" t="s">
        <v>45</v>
      </c>
      <c r="T98" t="s">
        <v>65</v>
      </c>
      <c r="U98" t="s">
        <v>47</v>
      </c>
      <c r="V98" t="s">
        <v>48</v>
      </c>
      <c r="W98" t="s">
        <v>49</v>
      </c>
      <c r="X98" t="s">
        <v>49</v>
      </c>
      <c r="Y98" t="s">
        <v>49</v>
      </c>
      <c r="Z98" t="s">
        <v>50</v>
      </c>
      <c r="AA98" t="s">
        <v>51</v>
      </c>
      <c r="AB98" t="s">
        <v>66</v>
      </c>
      <c r="AC98" t="s">
        <v>66</v>
      </c>
      <c r="AD98" t="s">
        <v>54</v>
      </c>
      <c r="AE98" t="s">
        <v>55</v>
      </c>
      <c r="AF98" t="s">
        <v>49</v>
      </c>
      <c r="AG98">
        <v>0</v>
      </c>
      <c r="AH98" s="1" t="s">
        <v>709</v>
      </c>
      <c r="AI98" t="s">
        <v>710</v>
      </c>
    </row>
    <row r="99" spans="1:35" x14ac:dyDescent="0.25">
      <c r="A99" t="s">
        <v>32</v>
      </c>
      <c r="B99" t="s">
        <v>32</v>
      </c>
      <c r="C99" t="s">
        <v>33</v>
      </c>
      <c r="D99" t="s">
        <v>34</v>
      </c>
      <c r="E99" t="s">
        <v>711</v>
      </c>
      <c r="F99" t="s">
        <v>712</v>
      </c>
      <c r="G99" s="3" t="s">
        <v>37</v>
      </c>
      <c r="H99" s="3" t="str">
        <f t="shared" si="3"/>
        <v>K</v>
      </c>
      <c r="I99" s="3" t="str">
        <f t="shared" si="4"/>
        <v>2</v>
      </c>
      <c r="J99" s="3" t="str">
        <f t="shared" si="5"/>
        <v>K/2</v>
      </c>
      <c r="K99" t="s">
        <v>38</v>
      </c>
      <c r="L99" t="s">
        <v>39</v>
      </c>
      <c r="M99" t="s">
        <v>40</v>
      </c>
      <c r="N99" t="s">
        <v>713</v>
      </c>
      <c r="O99" t="s">
        <v>42</v>
      </c>
      <c r="P99" t="s">
        <v>43</v>
      </c>
      <c r="Q99" s="3" t="s">
        <v>714</v>
      </c>
      <c r="R99" t="s">
        <v>712</v>
      </c>
      <c r="S99" t="s">
        <v>45</v>
      </c>
      <c r="T99" t="s">
        <v>46</v>
      </c>
      <c r="U99" t="s">
        <v>82</v>
      </c>
      <c r="V99" t="s">
        <v>48</v>
      </c>
      <c r="W99" t="s">
        <v>49</v>
      </c>
      <c r="X99" t="s">
        <v>49</v>
      </c>
      <c r="Y99" t="s">
        <v>49</v>
      </c>
      <c r="Z99" t="s">
        <v>50</v>
      </c>
      <c r="AA99" t="s">
        <v>51</v>
      </c>
      <c r="AB99" t="s">
        <v>52</v>
      </c>
      <c r="AC99" t="s">
        <v>53</v>
      </c>
      <c r="AD99" t="s">
        <v>54</v>
      </c>
      <c r="AE99" t="s">
        <v>55</v>
      </c>
      <c r="AF99" t="s">
        <v>49</v>
      </c>
      <c r="AG99">
        <v>0</v>
      </c>
      <c r="AH99" s="1" t="s">
        <v>715</v>
      </c>
      <c r="AI99" t="s">
        <v>716</v>
      </c>
    </row>
    <row r="100" spans="1:35" x14ac:dyDescent="0.25">
      <c r="A100" t="s">
        <v>32</v>
      </c>
      <c r="B100" t="s">
        <v>32</v>
      </c>
      <c r="C100" t="s">
        <v>33</v>
      </c>
      <c r="D100" t="s">
        <v>34</v>
      </c>
      <c r="E100" t="s">
        <v>717</v>
      </c>
      <c r="F100" t="s">
        <v>718</v>
      </c>
      <c r="G100" s="3" t="s">
        <v>37</v>
      </c>
      <c r="H100" s="3" t="str">
        <f t="shared" si="3"/>
        <v>K</v>
      </c>
      <c r="I100" s="3" t="str">
        <f t="shared" si="4"/>
        <v>2</v>
      </c>
      <c r="J100" s="3" t="str">
        <f t="shared" si="5"/>
        <v>K/2</v>
      </c>
      <c r="K100" t="s">
        <v>87</v>
      </c>
      <c r="L100" t="s">
        <v>88</v>
      </c>
      <c r="M100" t="s">
        <v>633</v>
      </c>
      <c r="N100" t="s">
        <v>719</v>
      </c>
      <c r="O100" t="s">
        <v>42</v>
      </c>
      <c r="P100" t="s">
        <v>43</v>
      </c>
      <c r="Q100" s="3" t="s">
        <v>720</v>
      </c>
      <c r="R100" t="s">
        <v>718</v>
      </c>
      <c r="S100" t="s">
        <v>45</v>
      </c>
      <c r="T100" t="s">
        <v>721</v>
      </c>
      <c r="U100" t="s">
        <v>82</v>
      </c>
      <c r="V100" t="s">
        <v>48</v>
      </c>
      <c r="W100" t="s">
        <v>49</v>
      </c>
      <c r="X100" t="s">
        <v>49</v>
      </c>
      <c r="Y100" t="s">
        <v>49</v>
      </c>
      <c r="Z100" t="s">
        <v>50</v>
      </c>
      <c r="AA100" t="s">
        <v>51</v>
      </c>
      <c r="AB100" t="s">
        <v>66</v>
      </c>
      <c r="AC100" t="s">
        <v>66</v>
      </c>
      <c r="AD100" t="s">
        <v>637</v>
      </c>
      <c r="AE100" t="s">
        <v>55</v>
      </c>
      <c r="AF100" t="s">
        <v>49</v>
      </c>
      <c r="AG100">
        <v>0</v>
      </c>
      <c r="AH100" s="1" t="s">
        <v>722</v>
      </c>
      <c r="AI100" t="s">
        <v>723</v>
      </c>
    </row>
    <row r="101" spans="1:35" x14ac:dyDescent="0.25">
      <c r="A101" t="s">
        <v>32</v>
      </c>
      <c r="B101" t="s">
        <v>32</v>
      </c>
      <c r="C101" t="s">
        <v>33</v>
      </c>
      <c r="D101" t="s">
        <v>34</v>
      </c>
      <c r="E101" t="s">
        <v>724</v>
      </c>
      <c r="F101" t="s">
        <v>725</v>
      </c>
      <c r="G101" s="3" t="s">
        <v>37</v>
      </c>
      <c r="H101" s="3" t="str">
        <f t="shared" si="3"/>
        <v>TK</v>
      </c>
      <c r="I101" s="3" t="str">
        <f t="shared" si="4"/>
        <v>0</v>
      </c>
      <c r="J101" s="3" t="str">
        <f t="shared" si="5"/>
        <v>TK/0</v>
      </c>
      <c r="K101" t="s">
        <v>38</v>
      </c>
      <c r="L101" t="s">
        <v>39</v>
      </c>
      <c r="M101" t="s">
        <v>40</v>
      </c>
      <c r="N101" t="s">
        <v>726</v>
      </c>
      <c r="O101" t="s">
        <v>42</v>
      </c>
      <c r="P101" t="s">
        <v>43</v>
      </c>
      <c r="Q101" s="3" t="s">
        <v>727</v>
      </c>
      <c r="R101" t="s">
        <v>725</v>
      </c>
      <c r="S101" t="s">
        <v>45</v>
      </c>
      <c r="T101" t="s">
        <v>81</v>
      </c>
      <c r="U101" t="s">
        <v>47</v>
      </c>
      <c r="V101" t="s">
        <v>48</v>
      </c>
      <c r="W101" t="s">
        <v>49</v>
      </c>
      <c r="X101" t="s">
        <v>49</v>
      </c>
      <c r="Y101" t="s">
        <v>49</v>
      </c>
      <c r="Z101" t="s">
        <v>50</v>
      </c>
      <c r="AA101" t="s">
        <v>51</v>
      </c>
      <c r="AB101" t="s">
        <v>66</v>
      </c>
      <c r="AC101" t="s">
        <v>66</v>
      </c>
      <c r="AD101" t="s">
        <v>54</v>
      </c>
      <c r="AE101" t="s">
        <v>55</v>
      </c>
      <c r="AF101" t="s">
        <v>49</v>
      </c>
      <c r="AG101">
        <v>0</v>
      </c>
      <c r="AH101" s="1" t="s">
        <v>728</v>
      </c>
      <c r="AI101" t="s">
        <v>729</v>
      </c>
    </row>
    <row r="102" spans="1:35" x14ac:dyDescent="0.25">
      <c r="A102" t="s">
        <v>32</v>
      </c>
      <c r="B102" t="s">
        <v>32</v>
      </c>
      <c r="C102" t="s">
        <v>33</v>
      </c>
      <c r="D102" t="s">
        <v>34</v>
      </c>
      <c r="E102" t="s">
        <v>730</v>
      </c>
      <c r="F102" t="s">
        <v>731</v>
      </c>
      <c r="G102" s="3" t="s">
        <v>37</v>
      </c>
      <c r="H102" s="3" t="str">
        <f t="shared" si="3"/>
        <v>K</v>
      </c>
      <c r="I102" s="3" t="str">
        <f t="shared" si="4"/>
        <v>0</v>
      </c>
      <c r="J102" s="3" t="str">
        <f t="shared" si="5"/>
        <v>K/0</v>
      </c>
      <c r="K102" t="s">
        <v>38</v>
      </c>
      <c r="L102" t="s">
        <v>39</v>
      </c>
      <c r="M102" t="s">
        <v>40</v>
      </c>
      <c r="N102" t="s">
        <v>732</v>
      </c>
      <c r="O102" t="s">
        <v>42</v>
      </c>
      <c r="P102" t="s">
        <v>43</v>
      </c>
      <c r="Q102" s="3" t="s">
        <v>733</v>
      </c>
      <c r="R102" t="s">
        <v>731</v>
      </c>
      <c r="S102" t="s">
        <v>45</v>
      </c>
      <c r="T102" t="s">
        <v>46</v>
      </c>
      <c r="U102" t="s">
        <v>148</v>
      </c>
      <c r="V102" t="s">
        <v>48</v>
      </c>
      <c r="W102" t="s">
        <v>49</v>
      </c>
      <c r="X102" t="s">
        <v>49</v>
      </c>
      <c r="Y102" t="s">
        <v>49</v>
      </c>
      <c r="Z102" t="s">
        <v>50</v>
      </c>
      <c r="AA102" t="s">
        <v>51</v>
      </c>
      <c r="AB102" t="s">
        <v>52</v>
      </c>
      <c r="AC102" t="s">
        <v>53</v>
      </c>
      <c r="AD102" t="s">
        <v>54</v>
      </c>
      <c r="AE102" t="s">
        <v>55</v>
      </c>
      <c r="AF102" t="s">
        <v>49</v>
      </c>
      <c r="AG102">
        <v>0</v>
      </c>
      <c r="AH102" s="1" t="s">
        <v>734</v>
      </c>
      <c r="AI102" t="s">
        <v>735</v>
      </c>
    </row>
    <row r="103" spans="1:35" x14ac:dyDescent="0.25">
      <c r="A103" t="s">
        <v>32</v>
      </c>
      <c r="B103" t="s">
        <v>32</v>
      </c>
      <c r="C103" t="s">
        <v>33</v>
      </c>
      <c r="D103" t="s">
        <v>34</v>
      </c>
      <c r="E103" t="s">
        <v>736</v>
      </c>
      <c r="F103" t="s">
        <v>737</v>
      </c>
      <c r="G103" s="3" t="s">
        <v>37</v>
      </c>
      <c r="H103" s="3" t="str">
        <f t="shared" si="3"/>
        <v>K</v>
      </c>
      <c r="I103" s="3" t="str">
        <f t="shared" si="4"/>
        <v>0</v>
      </c>
      <c r="J103" s="3" t="str">
        <f t="shared" si="5"/>
        <v>K/0</v>
      </c>
      <c r="K103" t="s">
        <v>87</v>
      </c>
      <c r="L103" t="s">
        <v>88</v>
      </c>
      <c r="M103" t="s">
        <v>89</v>
      </c>
      <c r="N103" t="s">
        <v>738</v>
      </c>
      <c r="O103" t="s">
        <v>42</v>
      </c>
      <c r="P103" t="s">
        <v>43</v>
      </c>
      <c r="Q103" s="3" t="s">
        <v>739</v>
      </c>
      <c r="R103" t="s">
        <v>737</v>
      </c>
      <c r="S103" t="s">
        <v>45</v>
      </c>
      <c r="T103" t="s">
        <v>740</v>
      </c>
      <c r="U103" t="s">
        <v>148</v>
      </c>
      <c r="V103" t="s">
        <v>48</v>
      </c>
      <c r="W103" t="s">
        <v>49</v>
      </c>
      <c r="X103" t="s">
        <v>49</v>
      </c>
      <c r="Y103" t="s">
        <v>49</v>
      </c>
      <c r="Z103" t="s">
        <v>50</v>
      </c>
      <c r="AA103" t="s">
        <v>51</v>
      </c>
      <c r="AB103" t="s">
        <v>66</v>
      </c>
      <c r="AC103" t="s">
        <v>66</v>
      </c>
      <c r="AD103" t="s">
        <v>93</v>
      </c>
      <c r="AE103" t="s">
        <v>55</v>
      </c>
      <c r="AF103" t="s">
        <v>49</v>
      </c>
      <c r="AG103">
        <v>0</v>
      </c>
      <c r="AH103" s="1" t="s">
        <v>741</v>
      </c>
      <c r="AI103" t="s">
        <v>742</v>
      </c>
    </row>
    <row r="104" spans="1:35" x14ac:dyDescent="0.25">
      <c r="A104" t="s">
        <v>32</v>
      </c>
      <c r="B104" t="s">
        <v>32</v>
      </c>
      <c r="C104" t="s">
        <v>33</v>
      </c>
      <c r="D104" t="s">
        <v>34</v>
      </c>
      <c r="E104" t="s">
        <v>743</v>
      </c>
      <c r="F104" t="s">
        <v>744</v>
      </c>
      <c r="G104" s="3" t="s">
        <v>37</v>
      </c>
      <c r="H104" s="3" t="str">
        <f t="shared" si="3"/>
        <v>TK</v>
      </c>
      <c r="I104" s="3" t="str">
        <f t="shared" si="4"/>
        <v>2</v>
      </c>
      <c r="J104" s="3" t="str">
        <f t="shared" si="5"/>
        <v>TK/2</v>
      </c>
      <c r="K104" t="s">
        <v>171</v>
      </c>
      <c r="L104" t="s">
        <v>172</v>
      </c>
      <c r="M104" t="s">
        <v>40</v>
      </c>
      <c r="N104" t="s">
        <v>745</v>
      </c>
      <c r="O104" t="s">
        <v>42</v>
      </c>
      <c r="P104" t="s">
        <v>43</v>
      </c>
      <c r="Q104" s="3" t="s">
        <v>746</v>
      </c>
      <c r="R104" t="s">
        <v>744</v>
      </c>
      <c r="S104" t="s">
        <v>45</v>
      </c>
      <c r="T104" t="s">
        <v>413</v>
      </c>
      <c r="U104" t="s">
        <v>279</v>
      </c>
      <c r="V104" t="s">
        <v>48</v>
      </c>
      <c r="W104" t="s">
        <v>49</v>
      </c>
      <c r="X104" t="s">
        <v>49</v>
      </c>
      <c r="Y104" t="s">
        <v>49</v>
      </c>
      <c r="Z104" t="s">
        <v>50</v>
      </c>
      <c r="AA104" t="s">
        <v>51</v>
      </c>
      <c r="AB104" t="s">
        <v>66</v>
      </c>
      <c r="AC104" t="s">
        <v>66</v>
      </c>
      <c r="AD104" t="s">
        <v>54</v>
      </c>
      <c r="AE104" t="s">
        <v>55</v>
      </c>
      <c r="AF104" t="s">
        <v>49</v>
      </c>
      <c r="AG104">
        <v>0</v>
      </c>
      <c r="AH104" s="1" t="s">
        <v>747</v>
      </c>
      <c r="AI104" t="s">
        <v>748</v>
      </c>
    </row>
    <row r="105" spans="1:35" x14ac:dyDescent="0.25">
      <c r="A105" t="s">
        <v>32</v>
      </c>
      <c r="B105" t="s">
        <v>32</v>
      </c>
      <c r="C105" t="s">
        <v>33</v>
      </c>
      <c r="D105" t="s">
        <v>34</v>
      </c>
      <c r="E105" t="s">
        <v>749</v>
      </c>
      <c r="F105" t="s">
        <v>750</v>
      </c>
      <c r="G105" s="3" t="s">
        <v>37</v>
      </c>
      <c r="H105" s="3" t="str">
        <f t="shared" si="3"/>
        <v>K</v>
      </c>
      <c r="I105" s="3" t="str">
        <f t="shared" si="4"/>
        <v>1</v>
      </c>
      <c r="J105" s="3" t="str">
        <f t="shared" si="5"/>
        <v>K/1</v>
      </c>
      <c r="K105" t="s">
        <v>87</v>
      </c>
      <c r="L105" t="s">
        <v>88</v>
      </c>
      <c r="M105" t="s">
        <v>207</v>
      </c>
      <c r="N105" t="s">
        <v>751</v>
      </c>
      <c r="O105" t="s">
        <v>42</v>
      </c>
      <c r="P105" t="s">
        <v>43</v>
      </c>
      <c r="Q105" s="3" t="s">
        <v>752</v>
      </c>
      <c r="R105" t="s">
        <v>750</v>
      </c>
      <c r="S105" t="s">
        <v>45</v>
      </c>
      <c r="T105" t="s">
        <v>583</v>
      </c>
      <c r="U105" t="s">
        <v>73</v>
      </c>
      <c r="V105" t="s">
        <v>48</v>
      </c>
      <c r="W105" t="s">
        <v>49</v>
      </c>
      <c r="X105" t="s">
        <v>49</v>
      </c>
      <c r="Y105" t="s">
        <v>49</v>
      </c>
      <c r="Z105" t="s">
        <v>50</v>
      </c>
      <c r="AA105" t="s">
        <v>51</v>
      </c>
      <c r="AB105" t="s">
        <v>66</v>
      </c>
      <c r="AC105" t="s">
        <v>66</v>
      </c>
      <c r="AD105" t="s">
        <v>212</v>
      </c>
      <c r="AE105" t="s">
        <v>55</v>
      </c>
      <c r="AF105" t="s">
        <v>49</v>
      </c>
      <c r="AG105">
        <v>124027</v>
      </c>
      <c r="AH105" s="1" t="s">
        <v>753</v>
      </c>
      <c r="AI105" t="s">
        <v>754</v>
      </c>
    </row>
    <row r="106" spans="1:35" x14ac:dyDescent="0.25">
      <c r="A106" t="s">
        <v>32</v>
      </c>
      <c r="B106" t="s">
        <v>32</v>
      </c>
      <c r="C106" t="s">
        <v>33</v>
      </c>
      <c r="D106" t="s">
        <v>34</v>
      </c>
      <c r="E106" t="s">
        <v>755</v>
      </c>
      <c r="F106" t="s">
        <v>756</v>
      </c>
      <c r="G106" s="3" t="s">
        <v>37</v>
      </c>
      <c r="H106" s="3" t="str">
        <f t="shared" si="3"/>
        <v>K</v>
      </c>
      <c r="I106" s="3" t="str">
        <f t="shared" si="4"/>
        <v>0</v>
      </c>
      <c r="J106" s="3" t="str">
        <f t="shared" si="5"/>
        <v>K/0</v>
      </c>
      <c r="K106" t="s">
        <v>38</v>
      </c>
      <c r="L106" t="s">
        <v>39</v>
      </c>
      <c r="M106" t="s">
        <v>40</v>
      </c>
      <c r="N106" t="s">
        <v>757</v>
      </c>
      <c r="O106" t="s">
        <v>42</v>
      </c>
      <c r="P106" t="s">
        <v>43</v>
      </c>
      <c r="Q106" s="3" t="s">
        <v>758</v>
      </c>
      <c r="R106" t="s">
        <v>756</v>
      </c>
      <c r="S106" t="s">
        <v>45</v>
      </c>
      <c r="T106" t="s">
        <v>81</v>
      </c>
      <c r="U106" t="s">
        <v>148</v>
      </c>
      <c r="V106" t="s">
        <v>48</v>
      </c>
      <c r="W106" t="s">
        <v>49</v>
      </c>
      <c r="X106" t="s">
        <v>49</v>
      </c>
      <c r="Y106" t="s">
        <v>49</v>
      </c>
      <c r="Z106" t="s">
        <v>50</v>
      </c>
      <c r="AA106" t="s">
        <v>51</v>
      </c>
      <c r="AB106" t="s">
        <v>66</v>
      </c>
      <c r="AC106" t="s">
        <v>66</v>
      </c>
      <c r="AD106" t="s">
        <v>54</v>
      </c>
      <c r="AE106" t="s">
        <v>55</v>
      </c>
      <c r="AF106" t="s">
        <v>49</v>
      </c>
      <c r="AG106">
        <v>0</v>
      </c>
      <c r="AH106" s="1" t="s">
        <v>759</v>
      </c>
      <c r="AI106" t="s">
        <v>760</v>
      </c>
    </row>
    <row r="107" spans="1:35" x14ac:dyDescent="0.25">
      <c r="A107" t="s">
        <v>32</v>
      </c>
      <c r="B107" t="s">
        <v>32</v>
      </c>
      <c r="C107" t="s">
        <v>33</v>
      </c>
      <c r="D107" t="s">
        <v>34</v>
      </c>
      <c r="E107" t="s">
        <v>761</v>
      </c>
      <c r="F107" t="s">
        <v>762</v>
      </c>
      <c r="G107" s="3" t="s">
        <v>180</v>
      </c>
      <c r="H107" s="3" t="str">
        <f t="shared" si="3"/>
        <v>TK</v>
      </c>
      <c r="I107" s="3" t="str">
        <f t="shared" si="4"/>
        <v>0</v>
      </c>
      <c r="J107" s="3" t="str">
        <f t="shared" si="5"/>
        <v>TK/0</v>
      </c>
      <c r="K107" t="s">
        <v>60</v>
      </c>
      <c r="L107" t="s">
        <v>61</v>
      </c>
      <c r="M107" t="s">
        <v>133</v>
      </c>
      <c r="N107" t="s">
        <v>763</v>
      </c>
      <c r="O107" t="s">
        <v>42</v>
      </c>
      <c r="P107" t="s">
        <v>43</v>
      </c>
      <c r="Q107" s="3" t="s">
        <v>764</v>
      </c>
      <c r="R107" t="s">
        <v>762</v>
      </c>
      <c r="S107" t="s">
        <v>45</v>
      </c>
      <c r="T107" t="s">
        <v>136</v>
      </c>
      <c r="U107" t="s">
        <v>47</v>
      </c>
      <c r="V107" t="s">
        <v>48</v>
      </c>
      <c r="W107" t="s">
        <v>49</v>
      </c>
      <c r="X107" t="s">
        <v>49</v>
      </c>
      <c r="Y107" t="s">
        <v>49</v>
      </c>
      <c r="Z107" t="s">
        <v>50</v>
      </c>
      <c r="AA107" t="s">
        <v>51</v>
      </c>
      <c r="AB107" t="s">
        <v>66</v>
      </c>
      <c r="AC107" t="s">
        <v>66</v>
      </c>
      <c r="AD107" t="s">
        <v>55</v>
      </c>
      <c r="AE107" t="s">
        <v>55</v>
      </c>
      <c r="AF107" t="s">
        <v>48</v>
      </c>
      <c r="AG107">
        <v>0</v>
      </c>
      <c r="AH107" s="1" t="s">
        <v>763</v>
      </c>
      <c r="AI107" t="s">
        <v>765</v>
      </c>
    </row>
    <row r="108" spans="1:35" x14ac:dyDescent="0.25">
      <c r="A108" t="s">
        <v>32</v>
      </c>
      <c r="B108" t="s">
        <v>32</v>
      </c>
      <c r="C108" t="s">
        <v>33</v>
      </c>
      <c r="D108" t="s">
        <v>34</v>
      </c>
      <c r="E108" t="s">
        <v>766</v>
      </c>
      <c r="F108" t="s">
        <v>767</v>
      </c>
      <c r="G108" s="3" t="s">
        <v>180</v>
      </c>
      <c r="H108" s="3" t="str">
        <f t="shared" si="3"/>
        <v>K</v>
      </c>
      <c r="I108" s="3" t="str">
        <f t="shared" si="4"/>
        <v>1</v>
      </c>
      <c r="J108" s="3" t="str">
        <f t="shared" si="5"/>
        <v>TK/0</v>
      </c>
      <c r="K108" t="s">
        <v>171</v>
      </c>
      <c r="L108" t="s">
        <v>172</v>
      </c>
      <c r="M108" t="s">
        <v>40</v>
      </c>
      <c r="N108" t="s">
        <v>768</v>
      </c>
      <c r="O108" t="s">
        <v>42</v>
      </c>
      <c r="P108" t="s">
        <v>43</v>
      </c>
      <c r="Q108" s="3" t="s">
        <v>769</v>
      </c>
      <c r="R108" t="s">
        <v>767</v>
      </c>
      <c r="S108" t="s">
        <v>45</v>
      </c>
      <c r="T108" t="s">
        <v>413</v>
      </c>
      <c r="U108" t="s">
        <v>73</v>
      </c>
      <c r="V108" t="s">
        <v>48</v>
      </c>
      <c r="W108" t="s">
        <v>49</v>
      </c>
      <c r="X108" t="s">
        <v>49</v>
      </c>
      <c r="Y108" t="s">
        <v>49</v>
      </c>
      <c r="Z108" t="s">
        <v>50</v>
      </c>
      <c r="AA108" t="s">
        <v>51</v>
      </c>
      <c r="AB108" t="s">
        <v>52</v>
      </c>
      <c r="AC108" t="s">
        <v>53</v>
      </c>
      <c r="AD108" t="s">
        <v>54</v>
      </c>
      <c r="AE108" t="s">
        <v>55</v>
      </c>
      <c r="AF108" t="s">
        <v>49</v>
      </c>
      <c r="AG108">
        <v>62014</v>
      </c>
      <c r="AH108" s="1" t="s">
        <v>770</v>
      </c>
      <c r="AI108" t="s">
        <v>771</v>
      </c>
    </row>
    <row r="109" spans="1:35" x14ac:dyDescent="0.25">
      <c r="A109" t="s">
        <v>32</v>
      </c>
      <c r="B109" t="s">
        <v>32</v>
      </c>
      <c r="C109" t="s">
        <v>33</v>
      </c>
      <c r="D109" t="s">
        <v>34</v>
      </c>
      <c r="E109" t="s">
        <v>772</v>
      </c>
      <c r="F109" t="s">
        <v>773</v>
      </c>
      <c r="G109" s="3" t="s">
        <v>180</v>
      </c>
      <c r="H109" s="3" t="str">
        <f t="shared" si="3"/>
        <v>K</v>
      </c>
      <c r="I109" s="3" t="str">
        <f t="shared" si="4"/>
        <v>1</v>
      </c>
      <c r="J109" s="3" t="str">
        <f t="shared" si="5"/>
        <v>TK/0</v>
      </c>
      <c r="K109" t="s">
        <v>205</v>
      </c>
      <c r="L109" t="s">
        <v>206</v>
      </c>
      <c r="M109" t="s">
        <v>89</v>
      </c>
      <c r="N109" t="s">
        <v>774</v>
      </c>
      <c r="O109" t="s">
        <v>42</v>
      </c>
      <c r="P109" t="s">
        <v>43</v>
      </c>
      <c r="Q109" s="3" t="s">
        <v>775</v>
      </c>
      <c r="R109" t="s">
        <v>773</v>
      </c>
      <c r="S109" t="s">
        <v>45</v>
      </c>
      <c r="T109" t="s">
        <v>776</v>
      </c>
      <c r="U109" t="s">
        <v>73</v>
      </c>
      <c r="V109" t="s">
        <v>48</v>
      </c>
      <c r="W109" t="s">
        <v>49</v>
      </c>
      <c r="X109" t="s">
        <v>49</v>
      </c>
      <c r="Y109" t="s">
        <v>49</v>
      </c>
      <c r="Z109" t="s">
        <v>50</v>
      </c>
      <c r="AA109" t="s">
        <v>51</v>
      </c>
      <c r="AB109" t="s">
        <v>66</v>
      </c>
      <c r="AC109" t="s">
        <v>66</v>
      </c>
      <c r="AD109" t="s">
        <v>93</v>
      </c>
      <c r="AE109" t="s">
        <v>55</v>
      </c>
      <c r="AF109" t="s">
        <v>49</v>
      </c>
      <c r="AG109">
        <v>0</v>
      </c>
      <c r="AH109" s="1" t="s">
        <v>777</v>
      </c>
      <c r="AI109" t="s">
        <v>778</v>
      </c>
    </row>
    <row r="110" spans="1:35" x14ac:dyDescent="0.25">
      <c r="A110" t="s">
        <v>32</v>
      </c>
      <c r="B110" t="s">
        <v>32</v>
      </c>
      <c r="C110" t="s">
        <v>33</v>
      </c>
      <c r="D110" t="s">
        <v>34</v>
      </c>
      <c r="E110" t="s">
        <v>779</v>
      </c>
      <c r="F110" t="s">
        <v>780</v>
      </c>
      <c r="G110" s="3" t="s">
        <v>37</v>
      </c>
      <c r="H110" s="3" t="str">
        <f t="shared" si="3"/>
        <v>K</v>
      </c>
      <c r="I110" s="3" t="str">
        <f t="shared" si="4"/>
        <v>2</v>
      </c>
      <c r="J110" s="3" t="str">
        <f t="shared" si="5"/>
        <v>K/2</v>
      </c>
      <c r="K110" t="s">
        <v>87</v>
      </c>
      <c r="L110" t="s">
        <v>88</v>
      </c>
      <c r="M110" t="s">
        <v>89</v>
      </c>
      <c r="N110" t="s">
        <v>781</v>
      </c>
      <c r="O110" t="s">
        <v>42</v>
      </c>
      <c r="P110" t="s">
        <v>43</v>
      </c>
      <c r="Q110" s="3" t="s">
        <v>782</v>
      </c>
      <c r="R110" t="s">
        <v>780</v>
      </c>
      <c r="S110" t="s">
        <v>45</v>
      </c>
      <c r="T110" t="s">
        <v>92</v>
      </c>
      <c r="U110" t="s">
        <v>82</v>
      </c>
      <c r="V110" t="s">
        <v>48</v>
      </c>
      <c r="W110" t="s">
        <v>49</v>
      </c>
      <c r="X110" t="s">
        <v>49</v>
      </c>
      <c r="Y110" t="s">
        <v>49</v>
      </c>
      <c r="Z110" t="s">
        <v>50</v>
      </c>
      <c r="AA110" t="s">
        <v>51</v>
      </c>
      <c r="AB110" t="s">
        <v>66</v>
      </c>
      <c r="AC110" t="s">
        <v>66</v>
      </c>
      <c r="AD110" t="s">
        <v>93</v>
      </c>
      <c r="AE110" t="s">
        <v>55</v>
      </c>
      <c r="AF110" t="s">
        <v>49</v>
      </c>
      <c r="AG110">
        <v>0</v>
      </c>
      <c r="AH110" s="1" t="s">
        <v>783</v>
      </c>
      <c r="AI110" t="s">
        <v>784</v>
      </c>
    </row>
    <row r="111" spans="1:35" x14ac:dyDescent="0.25">
      <c r="A111" t="s">
        <v>32</v>
      </c>
      <c r="B111" t="s">
        <v>32</v>
      </c>
      <c r="C111" t="s">
        <v>33</v>
      </c>
      <c r="D111" t="s">
        <v>34</v>
      </c>
      <c r="E111" t="s">
        <v>785</v>
      </c>
      <c r="F111" t="s">
        <v>786</v>
      </c>
      <c r="G111" s="3" t="s">
        <v>37</v>
      </c>
      <c r="H111" s="3" t="str">
        <f t="shared" si="3"/>
        <v>K</v>
      </c>
      <c r="I111" s="3" t="str">
        <f t="shared" si="4"/>
        <v>2</v>
      </c>
      <c r="J111" s="3" t="str">
        <f t="shared" si="5"/>
        <v>K/2</v>
      </c>
      <c r="K111" t="s">
        <v>205</v>
      </c>
      <c r="L111" t="s">
        <v>206</v>
      </c>
      <c r="M111" t="s">
        <v>89</v>
      </c>
      <c r="N111" t="s">
        <v>787</v>
      </c>
      <c r="O111" t="s">
        <v>42</v>
      </c>
      <c r="P111" t="s">
        <v>43</v>
      </c>
      <c r="Q111" s="3" t="s">
        <v>788</v>
      </c>
      <c r="R111" t="s">
        <v>786</v>
      </c>
      <c r="S111" t="s">
        <v>45</v>
      </c>
      <c r="T111" t="s">
        <v>789</v>
      </c>
      <c r="U111" t="s">
        <v>82</v>
      </c>
      <c r="V111" t="s">
        <v>48</v>
      </c>
      <c r="W111" t="s">
        <v>49</v>
      </c>
      <c r="X111" t="s">
        <v>49</v>
      </c>
      <c r="Y111" t="s">
        <v>49</v>
      </c>
      <c r="Z111" t="s">
        <v>50</v>
      </c>
      <c r="AA111" t="s">
        <v>51</v>
      </c>
      <c r="AB111" t="s">
        <v>66</v>
      </c>
      <c r="AC111" t="s">
        <v>66</v>
      </c>
      <c r="AD111" t="s">
        <v>93</v>
      </c>
      <c r="AE111" t="s">
        <v>55</v>
      </c>
      <c r="AF111" t="s">
        <v>49</v>
      </c>
      <c r="AG111">
        <v>0</v>
      </c>
      <c r="AH111" s="1" t="s">
        <v>790</v>
      </c>
      <c r="AI111" t="s">
        <v>791</v>
      </c>
    </row>
    <row r="112" spans="1:35" x14ac:dyDescent="0.25">
      <c r="A112" t="s">
        <v>32</v>
      </c>
      <c r="B112" t="s">
        <v>32</v>
      </c>
      <c r="C112" t="s">
        <v>33</v>
      </c>
      <c r="D112" t="s">
        <v>34</v>
      </c>
      <c r="E112" t="s">
        <v>792</v>
      </c>
      <c r="F112" t="s">
        <v>793</v>
      </c>
      <c r="G112" s="3" t="s">
        <v>37</v>
      </c>
      <c r="H112" s="3" t="str">
        <f t="shared" si="3"/>
        <v>K</v>
      </c>
      <c r="I112" s="3" t="str">
        <f t="shared" si="4"/>
        <v>2</v>
      </c>
      <c r="J112" s="3" t="str">
        <f t="shared" si="5"/>
        <v>K/2</v>
      </c>
      <c r="K112" t="s">
        <v>87</v>
      </c>
      <c r="L112" t="s">
        <v>88</v>
      </c>
      <c r="M112" t="s">
        <v>89</v>
      </c>
      <c r="N112" t="s">
        <v>794</v>
      </c>
      <c r="O112" t="s">
        <v>42</v>
      </c>
      <c r="P112" t="s">
        <v>43</v>
      </c>
      <c r="Q112" s="3" t="s">
        <v>795</v>
      </c>
      <c r="R112" t="s">
        <v>793</v>
      </c>
      <c r="S112" t="s">
        <v>45</v>
      </c>
      <c r="T112" t="s">
        <v>166</v>
      </c>
      <c r="U112" t="s">
        <v>82</v>
      </c>
      <c r="V112" t="s">
        <v>48</v>
      </c>
      <c r="W112" t="s">
        <v>49</v>
      </c>
      <c r="X112" t="s">
        <v>49</v>
      </c>
      <c r="Y112" t="s">
        <v>49</v>
      </c>
      <c r="Z112" t="s">
        <v>50</v>
      </c>
      <c r="AA112" t="s">
        <v>51</v>
      </c>
      <c r="AB112" t="s">
        <v>66</v>
      </c>
      <c r="AC112" t="s">
        <v>66</v>
      </c>
      <c r="AD112" t="s">
        <v>93</v>
      </c>
      <c r="AE112" t="s">
        <v>55</v>
      </c>
      <c r="AF112" t="s">
        <v>49</v>
      </c>
      <c r="AG112">
        <v>62014</v>
      </c>
      <c r="AH112" s="1" t="s">
        <v>796</v>
      </c>
      <c r="AI112" t="s">
        <v>797</v>
      </c>
    </row>
    <row r="113" spans="1:35" x14ac:dyDescent="0.25">
      <c r="A113" t="s">
        <v>32</v>
      </c>
      <c r="B113" t="s">
        <v>32</v>
      </c>
      <c r="C113" t="s">
        <v>33</v>
      </c>
      <c r="D113" t="s">
        <v>34</v>
      </c>
      <c r="E113" t="s">
        <v>798</v>
      </c>
      <c r="F113" t="s">
        <v>799</v>
      </c>
      <c r="G113" s="3" t="s">
        <v>37</v>
      </c>
      <c r="H113" s="3" t="str">
        <f t="shared" si="3"/>
        <v>K</v>
      </c>
      <c r="I113" s="3" t="str">
        <f t="shared" si="4"/>
        <v>2</v>
      </c>
      <c r="J113" s="3" t="str">
        <f t="shared" si="5"/>
        <v>K/2</v>
      </c>
      <c r="K113" t="s">
        <v>87</v>
      </c>
      <c r="L113" t="s">
        <v>88</v>
      </c>
      <c r="M113" t="s">
        <v>89</v>
      </c>
      <c r="N113" t="s">
        <v>800</v>
      </c>
      <c r="O113" t="s">
        <v>42</v>
      </c>
      <c r="P113" t="s">
        <v>43</v>
      </c>
      <c r="Q113" s="3" t="s">
        <v>801</v>
      </c>
      <c r="R113" t="s">
        <v>799</v>
      </c>
      <c r="S113" t="s">
        <v>45</v>
      </c>
      <c r="T113" t="s">
        <v>166</v>
      </c>
      <c r="U113" t="s">
        <v>82</v>
      </c>
      <c r="V113" t="s">
        <v>48</v>
      </c>
      <c r="W113" t="s">
        <v>49</v>
      </c>
      <c r="X113" t="s">
        <v>49</v>
      </c>
      <c r="Y113" t="s">
        <v>49</v>
      </c>
      <c r="Z113" t="s">
        <v>50</v>
      </c>
      <c r="AA113" t="s">
        <v>51</v>
      </c>
      <c r="AB113" t="s">
        <v>66</v>
      </c>
      <c r="AC113" t="s">
        <v>66</v>
      </c>
      <c r="AD113" t="s">
        <v>93</v>
      </c>
      <c r="AE113" t="s">
        <v>55</v>
      </c>
      <c r="AF113" t="s">
        <v>49</v>
      </c>
      <c r="AG113">
        <v>0</v>
      </c>
      <c r="AH113" s="1" t="s">
        <v>802</v>
      </c>
      <c r="AI113" t="s">
        <v>803</v>
      </c>
    </row>
    <row r="114" spans="1:35" x14ac:dyDescent="0.25">
      <c r="A114" t="s">
        <v>32</v>
      </c>
      <c r="B114" t="s">
        <v>32</v>
      </c>
      <c r="C114" t="s">
        <v>33</v>
      </c>
      <c r="D114" t="s">
        <v>34</v>
      </c>
      <c r="E114" t="s">
        <v>804</v>
      </c>
      <c r="F114" t="s">
        <v>805</v>
      </c>
      <c r="G114" s="3" t="s">
        <v>37</v>
      </c>
      <c r="H114" s="3" t="str">
        <f t="shared" si="3"/>
        <v>K</v>
      </c>
      <c r="I114" s="3" t="str">
        <f t="shared" si="4"/>
        <v>1</v>
      </c>
      <c r="J114" s="3" t="str">
        <f t="shared" si="5"/>
        <v>K/1</v>
      </c>
      <c r="K114" t="s">
        <v>107</v>
      </c>
      <c r="L114" t="s">
        <v>108</v>
      </c>
      <c r="M114" t="s">
        <v>207</v>
      </c>
      <c r="N114" t="s">
        <v>806</v>
      </c>
      <c r="O114" t="s">
        <v>42</v>
      </c>
      <c r="P114" t="s">
        <v>43</v>
      </c>
      <c r="Q114" s="3" t="s">
        <v>807</v>
      </c>
      <c r="R114" t="s">
        <v>808</v>
      </c>
      <c r="S114" t="s">
        <v>45</v>
      </c>
      <c r="T114" t="s">
        <v>809</v>
      </c>
      <c r="U114" t="s">
        <v>73</v>
      </c>
      <c r="V114" t="s">
        <v>48</v>
      </c>
      <c r="W114" t="s">
        <v>49</v>
      </c>
      <c r="X114" t="s">
        <v>49</v>
      </c>
      <c r="Y114" t="s">
        <v>49</v>
      </c>
      <c r="Z114" t="s">
        <v>50</v>
      </c>
      <c r="AA114" t="s">
        <v>51</v>
      </c>
      <c r="AB114" t="s">
        <v>66</v>
      </c>
      <c r="AC114" t="s">
        <v>66</v>
      </c>
      <c r="AD114" t="s">
        <v>212</v>
      </c>
      <c r="AE114" t="s">
        <v>55</v>
      </c>
      <c r="AF114" t="s">
        <v>49</v>
      </c>
      <c r="AG114">
        <v>124027</v>
      </c>
      <c r="AH114" s="1" t="s">
        <v>810</v>
      </c>
      <c r="AI114" t="s">
        <v>811</v>
      </c>
    </row>
    <row r="115" spans="1:35" x14ac:dyDescent="0.25">
      <c r="A115" t="s">
        <v>32</v>
      </c>
      <c r="B115" t="s">
        <v>32</v>
      </c>
      <c r="C115" t="s">
        <v>33</v>
      </c>
      <c r="D115" t="s">
        <v>34</v>
      </c>
      <c r="E115" t="s">
        <v>812</v>
      </c>
      <c r="F115" t="s">
        <v>813</v>
      </c>
      <c r="G115" s="3" t="s">
        <v>37</v>
      </c>
      <c r="H115" s="3" t="str">
        <f t="shared" si="3"/>
        <v>K</v>
      </c>
      <c r="I115" s="3" t="str">
        <f t="shared" si="4"/>
        <v>1</v>
      </c>
      <c r="J115" s="3" t="str">
        <f t="shared" si="5"/>
        <v>K/1</v>
      </c>
      <c r="K115" t="s">
        <v>87</v>
      </c>
      <c r="L115" t="s">
        <v>88</v>
      </c>
      <c r="M115" t="s">
        <v>89</v>
      </c>
      <c r="N115" t="s">
        <v>814</v>
      </c>
      <c r="O115" t="s">
        <v>42</v>
      </c>
      <c r="P115" t="s">
        <v>43</v>
      </c>
      <c r="Q115" s="3" t="s">
        <v>815</v>
      </c>
      <c r="R115" t="s">
        <v>813</v>
      </c>
      <c r="S115" t="s">
        <v>45</v>
      </c>
      <c r="T115" t="s">
        <v>816</v>
      </c>
      <c r="U115" t="s">
        <v>73</v>
      </c>
      <c r="V115" t="s">
        <v>48</v>
      </c>
      <c r="W115" t="s">
        <v>49</v>
      </c>
      <c r="X115" t="s">
        <v>49</v>
      </c>
      <c r="Y115" t="s">
        <v>49</v>
      </c>
      <c r="Z115" t="s">
        <v>50</v>
      </c>
      <c r="AA115" t="s">
        <v>51</v>
      </c>
      <c r="AB115" t="s">
        <v>66</v>
      </c>
      <c r="AC115" t="s">
        <v>66</v>
      </c>
      <c r="AD115" t="s">
        <v>93</v>
      </c>
      <c r="AE115" t="s">
        <v>55</v>
      </c>
      <c r="AF115" t="s">
        <v>49</v>
      </c>
      <c r="AG115">
        <v>0</v>
      </c>
      <c r="AH115" s="1" t="s">
        <v>817</v>
      </c>
      <c r="AI115" t="s">
        <v>818</v>
      </c>
    </row>
    <row r="116" spans="1:35" x14ac:dyDescent="0.25">
      <c r="A116" t="s">
        <v>32</v>
      </c>
      <c r="B116" t="s">
        <v>32</v>
      </c>
      <c r="C116" t="s">
        <v>33</v>
      </c>
      <c r="D116" t="s">
        <v>34</v>
      </c>
      <c r="E116" t="s">
        <v>819</v>
      </c>
      <c r="F116" t="s">
        <v>820</v>
      </c>
      <c r="G116" s="3" t="s">
        <v>37</v>
      </c>
      <c r="H116" s="3" t="str">
        <f t="shared" si="3"/>
        <v>K</v>
      </c>
      <c r="I116" s="3" t="str">
        <f t="shared" si="4"/>
        <v>1</v>
      </c>
      <c r="J116" s="3" t="str">
        <f t="shared" si="5"/>
        <v>K/1</v>
      </c>
      <c r="K116" t="s">
        <v>38</v>
      </c>
      <c r="L116" t="s">
        <v>39</v>
      </c>
      <c r="M116" t="s">
        <v>40</v>
      </c>
      <c r="N116" t="s">
        <v>821</v>
      </c>
      <c r="O116" t="s">
        <v>42</v>
      </c>
      <c r="P116" t="s">
        <v>43</v>
      </c>
      <c r="Q116" s="3" t="s">
        <v>822</v>
      </c>
      <c r="R116" t="s">
        <v>820</v>
      </c>
      <c r="S116" t="s">
        <v>45</v>
      </c>
      <c r="T116" t="s">
        <v>46</v>
      </c>
      <c r="U116" t="s">
        <v>73</v>
      </c>
      <c r="V116" t="s">
        <v>48</v>
      </c>
      <c r="W116" t="s">
        <v>49</v>
      </c>
      <c r="X116" t="s">
        <v>49</v>
      </c>
      <c r="Y116" t="s">
        <v>49</v>
      </c>
      <c r="Z116" t="s">
        <v>50</v>
      </c>
      <c r="AA116" t="s">
        <v>51</v>
      </c>
      <c r="AB116" t="s">
        <v>52</v>
      </c>
      <c r="AC116" t="s">
        <v>53</v>
      </c>
      <c r="AD116" t="s">
        <v>54</v>
      </c>
      <c r="AE116" t="s">
        <v>55</v>
      </c>
      <c r="AF116" t="s">
        <v>49</v>
      </c>
      <c r="AG116">
        <v>0</v>
      </c>
      <c r="AH116" s="1" t="s">
        <v>823</v>
      </c>
      <c r="AI116" t="s">
        <v>824</v>
      </c>
    </row>
    <row r="117" spans="1:35" x14ac:dyDescent="0.25">
      <c r="A117" t="s">
        <v>32</v>
      </c>
      <c r="B117" t="s">
        <v>32</v>
      </c>
      <c r="C117" t="s">
        <v>33</v>
      </c>
      <c r="D117" t="s">
        <v>34</v>
      </c>
      <c r="E117" t="s">
        <v>825</v>
      </c>
      <c r="F117" t="s">
        <v>1022</v>
      </c>
      <c r="G117" s="3" t="s">
        <v>37</v>
      </c>
      <c r="H117" s="3" t="str">
        <f t="shared" si="3"/>
        <v>K</v>
      </c>
      <c r="I117" s="3" t="str">
        <f t="shared" si="4"/>
        <v>1</v>
      </c>
      <c r="J117" s="3" t="str">
        <f t="shared" si="5"/>
        <v>K/1</v>
      </c>
      <c r="K117" t="s">
        <v>87</v>
      </c>
      <c r="L117" t="s">
        <v>88</v>
      </c>
      <c r="M117" t="s">
        <v>207</v>
      </c>
      <c r="N117" t="s">
        <v>826</v>
      </c>
      <c r="O117" t="s">
        <v>42</v>
      </c>
      <c r="P117" t="s">
        <v>43</v>
      </c>
      <c r="Q117" s="3" t="s">
        <v>827</v>
      </c>
      <c r="R117" t="s">
        <v>828</v>
      </c>
      <c r="S117" t="s">
        <v>45</v>
      </c>
      <c r="T117" t="s">
        <v>816</v>
      </c>
      <c r="U117" t="s">
        <v>73</v>
      </c>
      <c r="V117" t="s">
        <v>48</v>
      </c>
      <c r="W117" t="s">
        <v>49</v>
      </c>
      <c r="X117" t="s">
        <v>49</v>
      </c>
      <c r="Y117" t="s">
        <v>49</v>
      </c>
      <c r="Z117" t="s">
        <v>50</v>
      </c>
      <c r="AA117" t="s">
        <v>51</v>
      </c>
      <c r="AB117" t="s">
        <v>52</v>
      </c>
      <c r="AC117" t="s">
        <v>53</v>
      </c>
      <c r="AD117" t="s">
        <v>212</v>
      </c>
      <c r="AE117" t="s">
        <v>55</v>
      </c>
      <c r="AF117" t="s">
        <v>49</v>
      </c>
      <c r="AG117">
        <v>0</v>
      </c>
      <c r="AH117" s="1" t="s">
        <v>829</v>
      </c>
      <c r="AI117" t="s">
        <v>830</v>
      </c>
    </row>
    <row r="118" spans="1:35" x14ac:dyDescent="0.25">
      <c r="A118" t="s">
        <v>32</v>
      </c>
      <c r="B118" t="s">
        <v>32</v>
      </c>
      <c r="C118" t="s">
        <v>33</v>
      </c>
      <c r="D118" t="s">
        <v>34</v>
      </c>
      <c r="E118" t="s">
        <v>831</v>
      </c>
      <c r="F118" t="s">
        <v>832</v>
      </c>
      <c r="G118" s="3" t="s">
        <v>37</v>
      </c>
      <c r="H118" s="3" t="str">
        <f t="shared" si="3"/>
        <v>K</v>
      </c>
      <c r="I118" s="3" t="str">
        <f t="shared" si="4"/>
        <v>2</v>
      </c>
      <c r="J118" s="3" t="str">
        <f t="shared" si="5"/>
        <v>K/2</v>
      </c>
      <c r="K118" t="s">
        <v>274</v>
      </c>
      <c r="L118" t="s">
        <v>275</v>
      </c>
      <c r="M118" t="s">
        <v>89</v>
      </c>
      <c r="N118" t="s">
        <v>833</v>
      </c>
      <c r="O118" t="s">
        <v>42</v>
      </c>
      <c r="P118" t="s">
        <v>43</v>
      </c>
      <c r="Q118" s="3" t="s">
        <v>834</v>
      </c>
      <c r="R118" t="s">
        <v>832</v>
      </c>
      <c r="S118" t="s">
        <v>45</v>
      </c>
      <c r="T118" t="s">
        <v>278</v>
      </c>
      <c r="U118" t="s">
        <v>82</v>
      </c>
      <c r="V118" t="s">
        <v>48</v>
      </c>
      <c r="W118" t="s">
        <v>49</v>
      </c>
      <c r="X118" t="s">
        <v>49</v>
      </c>
      <c r="Y118" t="s">
        <v>49</v>
      </c>
      <c r="Z118" t="s">
        <v>50</v>
      </c>
      <c r="AA118" t="s">
        <v>51</v>
      </c>
      <c r="AB118" t="s">
        <v>52</v>
      </c>
      <c r="AC118" t="s">
        <v>53</v>
      </c>
      <c r="AD118" t="s">
        <v>93</v>
      </c>
      <c r="AE118" t="s">
        <v>55</v>
      </c>
      <c r="AF118" t="s">
        <v>49</v>
      </c>
      <c r="AG118">
        <v>62014</v>
      </c>
      <c r="AH118" s="1" t="s">
        <v>835</v>
      </c>
      <c r="AI118" t="s">
        <v>836</v>
      </c>
    </row>
    <row r="119" spans="1:35" x14ac:dyDescent="0.25">
      <c r="A119" t="s">
        <v>32</v>
      </c>
      <c r="B119" t="s">
        <v>32</v>
      </c>
      <c r="C119" t="s">
        <v>33</v>
      </c>
      <c r="D119" t="s">
        <v>34</v>
      </c>
      <c r="E119" t="s">
        <v>837</v>
      </c>
      <c r="F119" t="s">
        <v>838</v>
      </c>
      <c r="G119" s="3" t="s">
        <v>37</v>
      </c>
      <c r="H119" s="3" t="str">
        <f t="shared" si="3"/>
        <v>K</v>
      </c>
      <c r="I119" s="3" t="str">
        <f t="shared" si="4"/>
        <v>1</v>
      </c>
      <c r="J119" s="3" t="str">
        <f t="shared" si="5"/>
        <v>K/1</v>
      </c>
      <c r="K119" t="s">
        <v>38</v>
      </c>
      <c r="L119" t="s">
        <v>39</v>
      </c>
      <c r="M119" t="s">
        <v>40</v>
      </c>
      <c r="N119" t="s">
        <v>839</v>
      </c>
      <c r="O119" t="s">
        <v>42</v>
      </c>
      <c r="P119" t="s">
        <v>43</v>
      </c>
      <c r="Q119" s="3" t="s">
        <v>840</v>
      </c>
      <c r="R119" t="s">
        <v>838</v>
      </c>
      <c r="S119" t="s">
        <v>45</v>
      </c>
      <c r="T119" t="s">
        <v>46</v>
      </c>
      <c r="U119" t="s">
        <v>73</v>
      </c>
      <c r="V119" t="s">
        <v>48</v>
      </c>
      <c r="W119" t="s">
        <v>49</v>
      </c>
      <c r="X119" t="s">
        <v>49</v>
      </c>
      <c r="Y119" t="s">
        <v>49</v>
      </c>
      <c r="Z119" t="s">
        <v>50</v>
      </c>
      <c r="AA119" t="s">
        <v>51</v>
      </c>
      <c r="AB119" t="s">
        <v>52</v>
      </c>
      <c r="AC119" t="s">
        <v>53</v>
      </c>
      <c r="AD119" t="s">
        <v>54</v>
      </c>
      <c r="AE119" t="s">
        <v>55</v>
      </c>
      <c r="AF119" t="s">
        <v>49</v>
      </c>
      <c r="AG119">
        <v>0</v>
      </c>
      <c r="AH119" s="1" t="s">
        <v>841</v>
      </c>
      <c r="AI119" t="s">
        <v>842</v>
      </c>
    </row>
    <row r="120" spans="1:35" x14ac:dyDescent="0.25">
      <c r="A120" t="s">
        <v>32</v>
      </c>
      <c r="B120" t="s">
        <v>32</v>
      </c>
      <c r="C120" t="s">
        <v>33</v>
      </c>
      <c r="D120" t="s">
        <v>34</v>
      </c>
      <c r="E120" t="s">
        <v>843</v>
      </c>
      <c r="F120" t="s">
        <v>844</v>
      </c>
      <c r="G120" s="3" t="s">
        <v>37</v>
      </c>
      <c r="H120" s="3" t="str">
        <f t="shared" si="3"/>
        <v>K</v>
      </c>
      <c r="I120" s="3" t="str">
        <f t="shared" si="4"/>
        <v>1</v>
      </c>
      <c r="J120" s="3" t="str">
        <f t="shared" si="5"/>
        <v>K/1</v>
      </c>
      <c r="K120" t="s">
        <v>38</v>
      </c>
      <c r="L120" t="s">
        <v>39</v>
      </c>
      <c r="M120" t="s">
        <v>40</v>
      </c>
      <c r="N120" t="s">
        <v>845</v>
      </c>
      <c r="O120" t="s">
        <v>42</v>
      </c>
      <c r="P120" t="s">
        <v>43</v>
      </c>
      <c r="Q120" s="3" t="s">
        <v>846</v>
      </c>
      <c r="R120" t="s">
        <v>844</v>
      </c>
      <c r="S120" t="s">
        <v>45</v>
      </c>
      <c r="T120" t="s">
        <v>46</v>
      </c>
      <c r="U120" t="s">
        <v>73</v>
      </c>
      <c r="V120" t="s">
        <v>48</v>
      </c>
      <c r="W120" t="s">
        <v>49</v>
      </c>
      <c r="X120" t="s">
        <v>49</v>
      </c>
      <c r="Y120" t="s">
        <v>49</v>
      </c>
      <c r="Z120" t="s">
        <v>50</v>
      </c>
      <c r="AA120" t="s">
        <v>51</v>
      </c>
      <c r="AB120" t="s">
        <v>52</v>
      </c>
      <c r="AC120" t="s">
        <v>53</v>
      </c>
      <c r="AD120" t="s">
        <v>54</v>
      </c>
      <c r="AE120" t="s">
        <v>55</v>
      </c>
      <c r="AF120" t="s">
        <v>49</v>
      </c>
      <c r="AG120">
        <v>124027</v>
      </c>
      <c r="AH120" s="1" t="s">
        <v>847</v>
      </c>
      <c r="AI120" t="s">
        <v>848</v>
      </c>
    </row>
    <row r="121" spans="1:35" x14ac:dyDescent="0.25">
      <c r="A121" t="s">
        <v>32</v>
      </c>
      <c r="B121" t="s">
        <v>32</v>
      </c>
      <c r="C121" t="s">
        <v>33</v>
      </c>
      <c r="D121" t="s">
        <v>34</v>
      </c>
      <c r="E121" t="s">
        <v>849</v>
      </c>
      <c r="F121" t="s">
        <v>850</v>
      </c>
      <c r="G121" s="3" t="s">
        <v>180</v>
      </c>
      <c r="H121" s="3" t="str">
        <f t="shared" si="3"/>
        <v>TK</v>
      </c>
      <c r="I121" s="3" t="str">
        <f t="shared" si="4"/>
        <v>0</v>
      </c>
      <c r="J121" s="3" t="str">
        <f t="shared" si="5"/>
        <v>TK/0</v>
      </c>
      <c r="K121" t="s">
        <v>87</v>
      </c>
      <c r="L121" t="s">
        <v>88</v>
      </c>
      <c r="M121" t="s">
        <v>89</v>
      </c>
      <c r="N121" t="s">
        <v>851</v>
      </c>
      <c r="O121" t="s">
        <v>42</v>
      </c>
      <c r="P121" t="s">
        <v>43</v>
      </c>
      <c r="Q121" s="3" t="s">
        <v>852</v>
      </c>
      <c r="R121" t="s">
        <v>853</v>
      </c>
      <c r="S121" t="s">
        <v>45</v>
      </c>
      <c r="T121" t="s">
        <v>816</v>
      </c>
      <c r="U121" t="s">
        <v>47</v>
      </c>
      <c r="V121" t="s">
        <v>48</v>
      </c>
      <c r="W121" t="s">
        <v>49</v>
      </c>
      <c r="X121" t="s">
        <v>49</v>
      </c>
      <c r="Y121" t="s">
        <v>49</v>
      </c>
      <c r="Z121" t="s">
        <v>50</v>
      </c>
      <c r="AA121" t="s">
        <v>51</v>
      </c>
      <c r="AB121" t="s">
        <v>66</v>
      </c>
      <c r="AC121" t="s">
        <v>66</v>
      </c>
      <c r="AD121" t="s">
        <v>93</v>
      </c>
      <c r="AE121" t="s">
        <v>55</v>
      </c>
      <c r="AF121" t="s">
        <v>49</v>
      </c>
      <c r="AG121">
        <v>0</v>
      </c>
      <c r="AH121" s="1" t="s">
        <v>854</v>
      </c>
      <c r="AI121" t="s">
        <v>855</v>
      </c>
    </row>
    <row r="122" spans="1:35" x14ac:dyDescent="0.25">
      <c r="A122" t="s">
        <v>32</v>
      </c>
      <c r="B122" t="s">
        <v>32</v>
      </c>
      <c r="C122" t="s">
        <v>33</v>
      </c>
      <c r="D122" t="s">
        <v>34</v>
      </c>
      <c r="E122" t="s">
        <v>856</v>
      </c>
      <c r="F122" t="s">
        <v>857</v>
      </c>
      <c r="G122" s="3" t="s">
        <v>37</v>
      </c>
      <c r="H122" s="3" t="str">
        <f t="shared" si="3"/>
        <v>K</v>
      </c>
      <c r="I122" s="3" t="str">
        <f t="shared" si="4"/>
        <v>2</v>
      </c>
      <c r="J122" s="3" t="str">
        <f t="shared" si="5"/>
        <v>K/2</v>
      </c>
      <c r="K122" t="s">
        <v>38</v>
      </c>
      <c r="L122" t="s">
        <v>39</v>
      </c>
      <c r="M122" t="s">
        <v>40</v>
      </c>
      <c r="N122" t="s">
        <v>858</v>
      </c>
      <c r="O122" t="s">
        <v>42</v>
      </c>
      <c r="P122" t="s">
        <v>43</v>
      </c>
      <c r="Q122" s="3" t="s">
        <v>859</v>
      </c>
      <c r="R122" t="s">
        <v>857</v>
      </c>
      <c r="S122" t="s">
        <v>45</v>
      </c>
      <c r="T122" t="s">
        <v>46</v>
      </c>
      <c r="U122" t="s">
        <v>82</v>
      </c>
      <c r="V122" t="s">
        <v>48</v>
      </c>
      <c r="W122" t="s">
        <v>49</v>
      </c>
      <c r="X122" t="s">
        <v>49</v>
      </c>
      <c r="Y122" t="s">
        <v>49</v>
      </c>
      <c r="Z122" t="s">
        <v>50</v>
      </c>
      <c r="AA122" t="s">
        <v>51</v>
      </c>
      <c r="AB122" t="s">
        <v>52</v>
      </c>
      <c r="AC122" t="s">
        <v>53</v>
      </c>
      <c r="AD122" t="s">
        <v>54</v>
      </c>
      <c r="AE122" t="s">
        <v>55</v>
      </c>
      <c r="AF122" t="s">
        <v>49</v>
      </c>
      <c r="AG122">
        <v>0</v>
      </c>
      <c r="AH122" s="1" t="s">
        <v>860</v>
      </c>
      <c r="AI122" t="s">
        <v>861</v>
      </c>
    </row>
    <row r="123" spans="1:35" x14ac:dyDescent="0.25">
      <c r="A123" t="s">
        <v>32</v>
      </c>
      <c r="B123" t="s">
        <v>32</v>
      </c>
      <c r="C123" t="s">
        <v>33</v>
      </c>
      <c r="D123" t="s">
        <v>34</v>
      </c>
      <c r="E123" t="s">
        <v>862</v>
      </c>
      <c r="F123" t="s">
        <v>863</v>
      </c>
      <c r="G123" s="3" t="s">
        <v>180</v>
      </c>
      <c r="H123" s="3" t="str">
        <f t="shared" si="3"/>
        <v>TK</v>
      </c>
      <c r="I123" s="3" t="str">
        <f t="shared" si="4"/>
        <v>0</v>
      </c>
      <c r="J123" s="3" t="str">
        <f t="shared" si="5"/>
        <v>TK/0</v>
      </c>
      <c r="K123" t="s">
        <v>60</v>
      </c>
      <c r="L123" t="s">
        <v>61</v>
      </c>
      <c r="M123" t="s">
        <v>133</v>
      </c>
      <c r="N123" t="s">
        <v>864</v>
      </c>
      <c r="O123" t="s">
        <v>42</v>
      </c>
      <c r="P123" t="s">
        <v>43</v>
      </c>
      <c r="Q123" s="3" t="s">
        <v>865</v>
      </c>
      <c r="R123" t="s">
        <v>863</v>
      </c>
      <c r="S123" t="s">
        <v>45</v>
      </c>
      <c r="T123" t="s">
        <v>136</v>
      </c>
      <c r="U123" t="s">
        <v>47</v>
      </c>
      <c r="V123" t="s">
        <v>48</v>
      </c>
      <c r="W123" t="s">
        <v>49</v>
      </c>
      <c r="X123" t="s">
        <v>49</v>
      </c>
      <c r="Y123" t="s">
        <v>49</v>
      </c>
      <c r="Z123" t="s">
        <v>50</v>
      </c>
      <c r="AA123" t="s">
        <v>51</v>
      </c>
      <c r="AB123" t="s">
        <v>66</v>
      </c>
      <c r="AC123" t="s">
        <v>66</v>
      </c>
      <c r="AD123" t="s">
        <v>55</v>
      </c>
      <c r="AE123" t="s">
        <v>55</v>
      </c>
      <c r="AF123" t="s">
        <v>48</v>
      </c>
      <c r="AG123">
        <v>0</v>
      </c>
      <c r="AH123" s="1" t="s">
        <v>864</v>
      </c>
      <c r="AI123" t="s">
        <v>866</v>
      </c>
    </row>
    <row r="124" spans="1:35" x14ac:dyDescent="0.25">
      <c r="A124" t="s">
        <v>32</v>
      </c>
      <c r="B124" t="s">
        <v>32</v>
      </c>
      <c r="C124" t="s">
        <v>33</v>
      </c>
      <c r="D124" t="s">
        <v>34</v>
      </c>
      <c r="E124" t="s">
        <v>867</v>
      </c>
      <c r="F124" t="s">
        <v>868</v>
      </c>
      <c r="G124" s="3" t="s">
        <v>37</v>
      </c>
      <c r="H124" s="3" t="str">
        <f t="shared" si="3"/>
        <v>K</v>
      </c>
      <c r="I124" s="3" t="str">
        <f t="shared" si="4"/>
        <v>2</v>
      </c>
      <c r="J124" s="3" t="str">
        <f t="shared" si="5"/>
        <v>K/2</v>
      </c>
      <c r="K124" t="s">
        <v>38</v>
      </c>
      <c r="L124" t="s">
        <v>39</v>
      </c>
      <c r="M124" t="s">
        <v>40</v>
      </c>
      <c r="N124" t="s">
        <v>869</v>
      </c>
      <c r="O124" t="s">
        <v>42</v>
      </c>
      <c r="P124" t="s">
        <v>43</v>
      </c>
      <c r="Q124" s="3" t="s">
        <v>870</v>
      </c>
      <c r="R124" t="s">
        <v>868</v>
      </c>
      <c r="S124" t="s">
        <v>45</v>
      </c>
      <c r="T124" t="s">
        <v>46</v>
      </c>
      <c r="U124" t="s">
        <v>82</v>
      </c>
      <c r="V124" t="s">
        <v>48</v>
      </c>
      <c r="W124" t="s">
        <v>49</v>
      </c>
      <c r="X124" t="s">
        <v>49</v>
      </c>
      <c r="Y124" t="s">
        <v>49</v>
      </c>
      <c r="Z124" t="s">
        <v>50</v>
      </c>
      <c r="AA124" t="s">
        <v>51</v>
      </c>
      <c r="AB124" t="s">
        <v>52</v>
      </c>
      <c r="AC124" t="s">
        <v>53</v>
      </c>
      <c r="AD124" t="s">
        <v>54</v>
      </c>
      <c r="AE124" t="s">
        <v>55</v>
      </c>
      <c r="AF124" t="s">
        <v>49</v>
      </c>
      <c r="AG124">
        <v>62014</v>
      </c>
      <c r="AH124" s="1" t="s">
        <v>871</v>
      </c>
      <c r="AI124" t="s">
        <v>872</v>
      </c>
    </row>
    <row r="125" spans="1:35" x14ac:dyDescent="0.25">
      <c r="A125" t="s">
        <v>32</v>
      </c>
      <c r="B125" t="s">
        <v>32</v>
      </c>
      <c r="C125" t="s">
        <v>33</v>
      </c>
      <c r="D125" t="s">
        <v>34</v>
      </c>
      <c r="E125" t="s">
        <v>873</v>
      </c>
      <c r="F125" t="s">
        <v>874</v>
      </c>
      <c r="G125" s="3" t="s">
        <v>180</v>
      </c>
      <c r="H125" s="3" t="str">
        <f t="shared" si="3"/>
        <v>K</v>
      </c>
      <c r="I125" s="3" t="str">
        <f t="shared" si="4"/>
        <v>2</v>
      </c>
      <c r="J125" s="3" t="str">
        <f t="shared" si="5"/>
        <v>TK/0</v>
      </c>
      <c r="K125" t="s">
        <v>87</v>
      </c>
      <c r="L125" t="s">
        <v>88</v>
      </c>
      <c r="M125" t="s">
        <v>207</v>
      </c>
      <c r="N125" t="s">
        <v>875</v>
      </c>
      <c r="O125" t="s">
        <v>42</v>
      </c>
      <c r="P125" t="s">
        <v>43</v>
      </c>
      <c r="Q125" s="3" t="s">
        <v>876</v>
      </c>
      <c r="R125" t="s">
        <v>877</v>
      </c>
      <c r="S125" t="s">
        <v>45</v>
      </c>
      <c r="T125" t="s">
        <v>200</v>
      </c>
      <c r="U125" t="s">
        <v>82</v>
      </c>
      <c r="V125" t="s">
        <v>48</v>
      </c>
      <c r="W125" t="s">
        <v>49</v>
      </c>
      <c r="X125" t="s">
        <v>49</v>
      </c>
      <c r="Y125" t="s">
        <v>49</v>
      </c>
      <c r="Z125" t="s">
        <v>50</v>
      </c>
      <c r="AA125" t="s">
        <v>51</v>
      </c>
      <c r="AB125" t="s">
        <v>52</v>
      </c>
      <c r="AC125" t="s">
        <v>53</v>
      </c>
      <c r="AD125" t="s">
        <v>212</v>
      </c>
      <c r="AE125" t="s">
        <v>55</v>
      </c>
      <c r="AF125" t="s">
        <v>49</v>
      </c>
      <c r="AG125">
        <v>0</v>
      </c>
      <c r="AH125" s="1" t="s">
        <v>878</v>
      </c>
      <c r="AI125" t="s">
        <v>879</v>
      </c>
    </row>
    <row r="126" spans="1:35" x14ac:dyDescent="0.25">
      <c r="A126" t="s">
        <v>32</v>
      </c>
      <c r="B126" t="s">
        <v>32</v>
      </c>
      <c r="C126" t="s">
        <v>33</v>
      </c>
      <c r="D126" t="s">
        <v>34</v>
      </c>
      <c r="E126" t="s">
        <v>880</v>
      </c>
      <c r="F126" t="s">
        <v>881</v>
      </c>
      <c r="G126" s="3" t="s">
        <v>37</v>
      </c>
      <c r="H126" s="3" t="str">
        <f t="shared" si="3"/>
        <v>TK</v>
      </c>
      <c r="I126" s="3" t="str">
        <f t="shared" si="4"/>
        <v>0</v>
      </c>
      <c r="J126" s="3" t="str">
        <f t="shared" si="5"/>
        <v>TK/0</v>
      </c>
      <c r="K126" t="s">
        <v>38</v>
      </c>
      <c r="L126" t="s">
        <v>39</v>
      </c>
      <c r="M126" t="s">
        <v>40</v>
      </c>
      <c r="N126" t="s">
        <v>882</v>
      </c>
      <c r="O126" t="s">
        <v>42</v>
      </c>
      <c r="P126" t="s">
        <v>43</v>
      </c>
      <c r="Q126" s="3" t="s">
        <v>883</v>
      </c>
      <c r="R126" t="s">
        <v>881</v>
      </c>
      <c r="S126" t="s">
        <v>45</v>
      </c>
      <c r="T126" t="s">
        <v>46</v>
      </c>
      <c r="U126" t="s">
        <v>47</v>
      </c>
      <c r="V126" t="s">
        <v>48</v>
      </c>
      <c r="W126" t="s">
        <v>49</v>
      </c>
      <c r="X126" t="s">
        <v>49</v>
      </c>
      <c r="Y126" t="s">
        <v>49</v>
      </c>
      <c r="Z126" t="s">
        <v>50</v>
      </c>
      <c r="AA126" t="s">
        <v>51</v>
      </c>
      <c r="AB126" t="s">
        <v>52</v>
      </c>
      <c r="AC126" t="s">
        <v>53</v>
      </c>
      <c r="AD126" t="s">
        <v>54</v>
      </c>
      <c r="AE126" t="s">
        <v>55</v>
      </c>
      <c r="AF126" t="s">
        <v>49</v>
      </c>
      <c r="AG126">
        <v>0</v>
      </c>
      <c r="AH126" s="1" t="s">
        <v>884</v>
      </c>
      <c r="AI126" t="s">
        <v>885</v>
      </c>
    </row>
    <row r="127" spans="1:35" x14ac:dyDescent="0.25">
      <c r="A127" t="s">
        <v>32</v>
      </c>
      <c r="B127" t="s">
        <v>32</v>
      </c>
      <c r="C127" t="s">
        <v>33</v>
      </c>
      <c r="D127" t="s">
        <v>34</v>
      </c>
      <c r="E127" t="s">
        <v>886</v>
      </c>
      <c r="F127" t="s">
        <v>887</v>
      </c>
      <c r="G127" s="3" t="s">
        <v>37</v>
      </c>
      <c r="H127" s="3" t="str">
        <f t="shared" si="3"/>
        <v>K</v>
      </c>
      <c r="I127" s="3" t="str">
        <f t="shared" si="4"/>
        <v>1</v>
      </c>
      <c r="J127" s="3" t="str">
        <f t="shared" si="5"/>
        <v>K/1</v>
      </c>
      <c r="K127" t="s">
        <v>38</v>
      </c>
      <c r="L127" t="s">
        <v>39</v>
      </c>
      <c r="M127" t="s">
        <v>40</v>
      </c>
      <c r="N127" t="s">
        <v>888</v>
      </c>
      <c r="O127" t="s">
        <v>42</v>
      </c>
      <c r="P127" t="s">
        <v>43</v>
      </c>
      <c r="Q127" s="3" t="s">
        <v>889</v>
      </c>
      <c r="R127" t="s">
        <v>887</v>
      </c>
      <c r="S127" t="s">
        <v>45</v>
      </c>
      <c r="T127" t="s">
        <v>46</v>
      </c>
      <c r="U127" t="s">
        <v>73</v>
      </c>
      <c r="V127" t="s">
        <v>48</v>
      </c>
      <c r="W127" t="s">
        <v>49</v>
      </c>
      <c r="X127" t="s">
        <v>49</v>
      </c>
      <c r="Y127" t="s">
        <v>49</v>
      </c>
      <c r="Z127" t="s">
        <v>50</v>
      </c>
      <c r="AA127" t="s">
        <v>51</v>
      </c>
      <c r="AB127" t="s">
        <v>52</v>
      </c>
      <c r="AC127" t="s">
        <v>53</v>
      </c>
      <c r="AD127" t="s">
        <v>54</v>
      </c>
      <c r="AE127" t="s">
        <v>55</v>
      </c>
      <c r="AF127" t="s">
        <v>49</v>
      </c>
      <c r="AG127">
        <v>124027</v>
      </c>
      <c r="AH127" s="1" t="s">
        <v>890</v>
      </c>
      <c r="AI127" t="s">
        <v>891</v>
      </c>
    </row>
    <row r="128" spans="1:35" x14ac:dyDescent="0.25">
      <c r="A128" t="s">
        <v>32</v>
      </c>
      <c r="B128" t="s">
        <v>32</v>
      </c>
      <c r="C128" t="s">
        <v>33</v>
      </c>
      <c r="D128" t="s">
        <v>34</v>
      </c>
      <c r="E128" t="s">
        <v>892</v>
      </c>
      <c r="F128" t="s">
        <v>893</v>
      </c>
      <c r="G128" s="3" t="s">
        <v>37</v>
      </c>
      <c r="H128" s="3" t="str">
        <f t="shared" si="3"/>
        <v>K</v>
      </c>
      <c r="I128" s="3" t="str">
        <f t="shared" si="4"/>
        <v>1</v>
      </c>
      <c r="J128" s="3" t="str">
        <f t="shared" si="5"/>
        <v>K/1</v>
      </c>
      <c r="K128" t="s">
        <v>38</v>
      </c>
      <c r="L128" t="s">
        <v>39</v>
      </c>
      <c r="M128" t="s">
        <v>40</v>
      </c>
      <c r="N128" t="s">
        <v>894</v>
      </c>
      <c r="O128" t="s">
        <v>42</v>
      </c>
      <c r="P128" t="s">
        <v>43</v>
      </c>
      <c r="Q128" s="3" t="s">
        <v>895</v>
      </c>
      <c r="R128" t="s">
        <v>893</v>
      </c>
      <c r="S128" t="s">
        <v>45</v>
      </c>
      <c r="T128" t="s">
        <v>46</v>
      </c>
      <c r="U128" t="s">
        <v>73</v>
      </c>
      <c r="V128" t="s">
        <v>48</v>
      </c>
      <c r="W128" t="s">
        <v>49</v>
      </c>
      <c r="X128" t="s">
        <v>49</v>
      </c>
      <c r="Y128" t="s">
        <v>49</v>
      </c>
      <c r="Z128" t="s">
        <v>50</v>
      </c>
      <c r="AA128" t="s">
        <v>51</v>
      </c>
      <c r="AB128" t="s">
        <v>52</v>
      </c>
      <c r="AC128" t="s">
        <v>53</v>
      </c>
      <c r="AD128" t="s">
        <v>54</v>
      </c>
      <c r="AE128" t="s">
        <v>55</v>
      </c>
      <c r="AF128" t="s">
        <v>49</v>
      </c>
      <c r="AG128">
        <v>62014</v>
      </c>
      <c r="AH128" s="1" t="s">
        <v>896</v>
      </c>
      <c r="AI128" t="s">
        <v>897</v>
      </c>
    </row>
    <row r="129" spans="1:35" x14ac:dyDescent="0.25">
      <c r="A129" t="s">
        <v>32</v>
      </c>
      <c r="B129" t="s">
        <v>32</v>
      </c>
      <c r="C129" t="s">
        <v>33</v>
      </c>
      <c r="D129" t="s">
        <v>34</v>
      </c>
      <c r="E129" t="s">
        <v>898</v>
      </c>
      <c r="F129" t="s">
        <v>899</v>
      </c>
      <c r="G129" s="3" t="s">
        <v>37</v>
      </c>
      <c r="H129" s="3" t="str">
        <f t="shared" si="3"/>
        <v>K</v>
      </c>
      <c r="I129" s="3" t="str">
        <f t="shared" si="4"/>
        <v>2</v>
      </c>
      <c r="J129" s="3" t="str">
        <f t="shared" si="5"/>
        <v>K/2</v>
      </c>
      <c r="K129" t="s">
        <v>98</v>
      </c>
      <c r="L129" t="s">
        <v>99</v>
      </c>
      <c r="M129" t="s">
        <v>89</v>
      </c>
      <c r="N129" t="s">
        <v>900</v>
      </c>
      <c r="O129" t="s">
        <v>42</v>
      </c>
      <c r="P129" t="s">
        <v>43</v>
      </c>
      <c r="Q129" s="3" t="s">
        <v>901</v>
      </c>
      <c r="R129" t="s">
        <v>899</v>
      </c>
      <c r="S129" t="s">
        <v>45</v>
      </c>
      <c r="T129" t="s">
        <v>102</v>
      </c>
      <c r="U129" t="s">
        <v>82</v>
      </c>
      <c r="V129" t="s">
        <v>48</v>
      </c>
      <c r="W129" t="s">
        <v>49</v>
      </c>
      <c r="X129" t="s">
        <v>49</v>
      </c>
      <c r="Y129" t="s">
        <v>49</v>
      </c>
      <c r="Z129" t="s">
        <v>50</v>
      </c>
      <c r="AA129" t="s">
        <v>51</v>
      </c>
      <c r="AB129" t="s">
        <v>66</v>
      </c>
      <c r="AC129" t="s">
        <v>66</v>
      </c>
      <c r="AD129" t="s">
        <v>93</v>
      </c>
      <c r="AE129" t="s">
        <v>55</v>
      </c>
      <c r="AF129" t="s">
        <v>49</v>
      </c>
      <c r="AG129">
        <v>0</v>
      </c>
      <c r="AH129" s="1" t="s">
        <v>902</v>
      </c>
      <c r="AI129" t="s">
        <v>903</v>
      </c>
    </row>
    <row r="130" spans="1:35" x14ac:dyDescent="0.25">
      <c r="A130" t="s">
        <v>32</v>
      </c>
      <c r="B130" t="s">
        <v>32</v>
      </c>
      <c r="C130" t="s">
        <v>33</v>
      </c>
      <c r="D130" t="s">
        <v>34</v>
      </c>
      <c r="E130" t="s">
        <v>904</v>
      </c>
      <c r="F130" t="s">
        <v>905</v>
      </c>
      <c r="G130" s="3" t="s">
        <v>37</v>
      </c>
      <c r="H130" s="3" t="str">
        <f t="shared" si="3"/>
        <v>K</v>
      </c>
      <c r="I130" s="3" t="str">
        <f t="shared" si="4"/>
        <v>2</v>
      </c>
      <c r="J130" s="3" t="str">
        <f t="shared" si="5"/>
        <v>K/2</v>
      </c>
      <c r="K130" t="s">
        <v>274</v>
      </c>
      <c r="L130" t="s">
        <v>275</v>
      </c>
      <c r="M130" t="s">
        <v>89</v>
      </c>
      <c r="N130" t="s">
        <v>906</v>
      </c>
      <c r="O130" t="s">
        <v>42</v>
      </c>
      <c r="P130" t="s">
        <v>43</v>
      </c>
      <c r="Q130" s="3" t="s">
        <v>907</v>
      </c>
      <c r="R130" t="s">
        <v>905</v>
      </c>
      <c r="S130" t="s">
        <v>45</v>
      </c>
      <c r="T130" t="s">
        <v>278</v>
      </c>
      <c r="U130" t="s">
        <v>82</v>
      </c>
      <c r="V130" t="s">
        <v>48</v>
      </c>
      <c r="W130" t="s">
        <v>49</v>
      </c>
      <c r="X130" t="s">
        <v>49</v>
      </c>
      <c r="Y130" t="s">
        <v>49</v>
      </c>
      <c r="Z130" t="s">
        <v>50</v>
      </c>
      <c r="AA130" t="s">
        <v>51</v>
      </c>
      <c r="AB130" t="s">
        <v>52</v>
      </c>
      <c r="AC130" t="s">
        <v>53</v>
      </c>
      <c r="AD130" t="s">
        <v>93</v>
      </c>
      <c r="AE130" t="s">
        <v>55</v>
      </c>
      <c r="AF130" t="s">
        <v>49</v>
      </c>
      <c r="AG130">
        <v>62014</v>
      </c>
      <c r="AH130" s="1" t="s">
        <v>908</v>
      </c>
      <c r="AI130" t="s">
        <v>909</v>
      </c>
    </row>
    <row r="131" spans="1:35" x14ac:dyDescent="0.25">
      <c r="A131" t="s">
        <v>32</v>
      </c>
      <c r="B131" t="s">
        <v>32</v>
      </c>
      <c r="C131" t="s">
        <v>33</v>
      </c>
      <c r="D131" t="s">
        <v>34</v>
      </c>
      <c r="E131" t="s">
        <v>910</v>
      </c>
      <c r="F131" t="s">
        <v>911</v>
      </c>
      <c r="G131" s="3" t="s">
        <v>37</v>
      </c>
      <c r="H131" s="3" t="str">
        <f t="shared" ref="H131:H144" si="6">IF(LEFT(U131,2)="11","K","TK")</f>
        <v>K</v>
      </c>
      <c r="I131" s="3" t="str">
        <f t="shared" ref="I131:I144" si="7">RIGHT(U131,1)</f>
        <v>1</v>
      </c>
      <c r="J131" s="3" t="str">
        <f t="shared" ref="J131:J144" si="8">IF(G131="P",IF(H131="K","TK/0",H131&amp;"/"&amp;I131),H131&amp;"/"&amp;I131)</f>
        <v>K/1</v>
      </c>
      <c r="K131" t="s">
        <v>303</v>
      </c>
      <c r="L131" t="s">
        <v>304</v>
      </c>
      <c r="M131" t="s">
        <v>207</v>
      </c>
      <c r="N131" t="s">
        <v>912</v>
      </c>
      <c r="O131" t="s">
        <v>42</v>
      </c>
      <c r="P131" t="s">
        <v>43</v>
      </c>
      <c r="Q131" s="3" t="s">
        <v>913</v>
      </c>
      <c r="R131" t="s">
        <v>914</v>
      </c>
      <c r="S131" t="s">
        <v>915</v>
      </c>
      <c r="T131" t="s">
        <v>916</v>
      </c>
      <c r="U131" t="s">
        <v>73</v>
      </c>
      <c r="V131" t="s">
        <v>48</v>
      </c>
      <c r="W131" t="s">
        <v>49</v>
      </c>
      <c r="X131" t="s">
        <v>49</v>
      </c>
      <c r="Y131" t="s">
        <v>49</v>
      </c>
      <c r="Z131" t="s">
        <v>50</v>
      </c>
      <c r="AA131" t="s">
        <v>51</v>
      </c>
      <c r="AB131" t="s">
        <v>66</v>
      </c>
      <c r="AC131" t="s">
        <v>66</v>
      </c>
      <c r="AD131" t="s">
        <v>212</v>
      </c>
      <c r="AE131" t="s">
        <v>55</v>
      </c>
      <c r="AF131" t="s">
        <v>49</v>
      </c>
      <c r="AG131">
        <v>124027</v>
      </c>
      <c r="AH131" s="1" t="s">
        <v>917</v>
      </c>
      <c r="AI131" t="s">
        <v>918</v>
      </c>
    </row>
    <row r="132" spans="1:35" x14ac:dyDescent="0.25">
      <c r="A132" t="s">
        <v>32</v>
      </c>
      <c r="B132" t="s">
        <v>32</v>
      </c>
      <c r="C132" t="s">
        <v>33</v>
      </c>
      <c r="D132" t="s">
        <v>34</v>
      </c>
      <c r="E132" t="s">
        <v>919</v>
      </c>
      <c r="F132" t="s">
        <v>920</v>
      </c>
      <c r="G132" s="3" t="s">
        <v>37</v>
      </c>
      <c r="H132" s="3" t="str">
        <f t="shared" si="6"/>
        <v>K</v>
      </c>
      <c r="I132" s="3" t="str">
        <f t="shared" si="7"/>
        <v>2</v>
      </c>
      <c r="J132" s="3" t="str">
        <f t="shared" si="8"/>
        <v>K/2</v>
      </c>
      <c r="K132" t="s">
        <v>107</v>
      </c>
      <c r="L132" t="s">
        <v>108</v>
      </c>
      <c r="M132" t="s">
        <v>207</v>
      </c>
      <c r="N132" t="s">
        <v>921</v>
      </c>
      <c r="O132" t="s">
        <v>42</v>
      </c>
      <c r="P132" t="s">
        <v>43</v>
      </c>
      <c r="Q132" s="3" t="s">
        <v>922</v>
      </c>
      <c r="R132" t="s">
        <v>923</v>
      </c>
      <c r="S132" t="s">
        <v>915</v>
      </c>
      <c r="T132" t="s">
        <v>924</v>
      </c>
      <c r="U132" t="s">
        <v>82</v>
      </c>
      <c r="V132" t="s">
        <v>48</v>
      </c>
      <c r="W132" t="s">
        <v>49</v>
      </c>
      <c r="X132" t="s">
        <v>49</v>
      </c>
      <c r="Y132" t="s">
        <v>49</v>
      </c>
      <c r="Z132" t="s">
        <v>50</v>
      </c>
      <c r="AA132" t="s">
        <v>51</v>
      </c>
      <c r="AB132" t="s">
        <v>66</v>
      </c>
      <c r="AC132" t="s">
        <v>66</v>
      </c>
      <c r="AD132" t="s">
        <v>212</v>
      </c>
      <c r="AE132" t="s">
        <v>55</v>
      </c>
      <c r="AF132" t="s">
        <v>49</v>
      </c>
      <c r="AG132">
        <v>241164</v>
      </c>
      <c r="AH132" s="1" t="s">
        <v>925</v>
      </c>
      <c r="AI132" t="s">
        <v>926</v>
      </c>
    </row>
    <row r="133" spans="1:35" x14ac:dyDescent="0.25">
      <c r="A133" t="s">
        <v>32</v>
      </c>
      <c r="B133" t="s">
        <v>32</v>
      </c>
      <c r="C133" t="s">
        <v>33</v>
      </c>
      <c r="D133" t="s">
        <v>34</v>
      </c>
      <c r="E133" t="s">
        <v>927</v>
      </c>
      <c r="F133" t="s">
        <v>928</v>
      </c>
      <c r="G133" s="3" t="s">
        <v>37</v>
      </c>
      <c r="H133" s="3" t="str">
        <f t="shared" si="6"/>
        <v>K</v>
      </c>
      <c r="I133" s="3" t="str">
        <f t="shared" si="7"/>
        <v>1</v>
      </c>
      <c r="J133" s="3" t="str">
        <f t="shared" si="8"/>
        <v>K/1</v>
      </c>
      <c r="K133" t="s">
        <v>98</v>
      </c>
      <c r="L133" t="s">
        <v>99</v>
      </c>
      <c r="M133" t="s">
        <v>89</v>
      </c>
      <c r="N133" t="s">
        <v>929</v>
      </c>
      <c r="O133" t="s">
        <v>42</v>
      </c>
      <c r="P133" t="s">
        <v>43</v>
      </c>
      <c r="Q133" s="3" t="s">
        <v>930</v>
      </c>
      <c r="R133" t="s">
        <v>928</v>
      </c>
      <c r="S133" t="s">
        <v>915</v>
      </c>
      <c r="T133" t="s">
        <v>931</v>
      </c>
      <c r="U133" t="s">
        <v>73</v>
      </c>
      <c r="V133" t="s">
        <v>48</v>
      </c>
      <c r="W133" t="s">
        <v>49</v>
      </c>
      <c r="X133" t="s">
        <v>49</v>
      </c>
      <c r="Y133" t="s">
        <v>49</v>
      </c>
      <c r="Z133" t="s">
        <v>50</v>
      </c>
      <c r="AA133" t="s">
        <v>51</v>
      </c>
      <c r="AB133" t="s">
        <v>66</v>
      </c>
      <c r="AC133" t="s">
        <v>66</v>
      </c>
      <c r="AD133" t="s">
        <v>93</v>
      </c>
      <c r="AE133" t="s">
        <v>55</v>
      </c>
      <c r="AF133" t="s">
        <v>49</v>
      </c>
      <c r="AG133">
        <v>0</v>
      </c>
      <c r="AH133" s="1" t="s">
        <v>932</v>
      </c>
      <c r="AI133" t="s">
        <v>933</v>
      </c>
    </row>
    <row r="134" spans="1:35" x14ac:dyDescent="0.25">
      <c r="A134" t="s">
        <v>32</v>
      </c>
      <c r="B134" t="s">
        <v>32</v>
      </c>
      <c r="C134" t="s">
        <v>33</v>
      </c>
      <c r="D134" t="s">
        <v>34</v>
      </c>
      <c r="E134" t="s">
        <v>934</v>
      </c>
      <c r="F134" t="s">
        <v>935</v>
      </c>
      <c r="G134" s="3" t="s">
        <v>37</v>
      </c>
      <c r="H134" s="3" t="str">
        <f t="shared" si="6"/>
        <v>K</v>
      </c>
      <c r="I134" s="3" t="str">
        <f t="shared" si="7"/>
        <v>2</v>
      </c>
      <c r="J134" s="3" t="str">
        <f t="shared" si="8"/>
        <v>K/2</v>
      </c>
      <c r="K134" t="s">
        <v>87</v>
      </c>
      <c r="L134" t="s">
        <v>88</v>
      </c>
      <c r="M134" t="s">
        <v>89</v>
      </c>
      <c r="N134" t="s">
        <v>936</v>
      </c>
      <c r="O134" t="s">
        <v>42</v>
      </c>
      <c r="P134" t="s">
        <v>43</v>
      </c>
      <c r="Q134" s="3" t="s">
        <v>937</v>
      </c>
      <c r="R134" t="s">
        <v>935</v>
      </c>
      <c r="S134" t="s">
        <v>938</v>
      </c>
      <c r="T134" t="s">
        <v>721</v>
      </c>
      <c r="U134" t="s">
        <v>82</v>
      </c>
      <c r="V134" t="s">
        <v>48</v>
      </c>
      <c r="W134" t="s">
        <v>49</v>
      </c>
      <c r="X134" t="s">
        <v>49</v>
      </c>
      <c r="Y134" t="s">
        <v>49</v>
      </c>
      <c r="Z134" t="s">
        <v>50</v>
      </c>
      <c r="AA134" t="s">
        <v>51</v>
      </c>
      <c r="AB134" t="s">
        <v>66</v>
      </c>
      <c r="AC134" t="s">
        <v>66</v>
      </c>
      <c r="AD134" t="s">
        <v>93</v>
      </c>
      <c r="AE134" t="s">
        <v>55</v>
      </c>
      <c r="AF134" t="s">
        <v>49</v>
      </c>
      <c r="AG134">
        <v>0</v>
      </c>
      <c r="AH134" s="1" t="s">
        <v>939</v>
      </c>
      <c r="AI134" t="s">
        <v>940</v>
      </c>
    </row>
    <row r="135" spans="1:35" x14ac:dyDescent="0.25">
      <c r="A135" t="s">
        <v>32</v>
      </c>
      <c r="B135" t="s">
        <v>32</v>
      </c>
      <c r="C135" t="s">
        <v>33</v>
      </c>
      <c r="D135" t="s">
        <v>34</v>
      </c>
      <c r="E135" t="s">
        <v>941</v>
      </c>
      <c r="F135" t="s">
        <v>942</v>
      </c>
      <c r="G135" s="3" t="s">
        <v>37</v>
      </c>
      <c r="H135" s="3" t="str">
        <f t="shared" si="6"/>
        <v>K</v>
      </c>
      <c r="I135" s="3" t="str">
        <f t="shared" si="7"/>
        <v>2</v>
      </c>
      <c r="J135" s="3" t="str">
        <f t="shared" si="8"/>
        <v>K/2</v>
      </c>
      <c r="K135" t="s">
        <v>107</v>
      </c>
      <c r="L135" t="s">
        <v>108</v>
      </c>
      <c r="M135" t="s">
        <v>943</v>
      </c>
      <c r="N135" t="s">
        <v>944</v>
      </c>
      <c r="O135" t="s">
        <v>42</v>
      </c>
      <c r="P135" t="s">
        <v>43</v>
      </c>
      <c r="Q135" s="3" t="s">
        <v>945</v>
      </c>
      <c r="R135" t="s">
        <v>946</v>
      </c>
      <c r="S135" t="s">
        <v>938</v>
      </c>
      <c r="T135" t="s">
        <v>947</v>
      </c>
      <c r="U135" t="s">
        <v>82</v>
      </c>
      <c r="V135" t="s">
        <v>48</v>
      </c>
      <c r="W135" t="s">
        <v>49</v>
      </c>
      <c r="X135" t="s">
        <v>49</v>
      </c>
      <c r="Y135" t="s">
        <v>49</v>
      </c>
      <c r="Z135" t="s">
        <v>50</v>
      </c>
      <c r="AA135" t="s">
        <v>51</v>
      </c>
      <c r="AB135" t="s">
        <v>66</v>
      </c>
      <c r="AC135" t="s">
        <v>66</v>
      </c>
      <c r="AD135" t="s">
        <v>948</v>
      </c>
      <c r="AE135" t="s">
        <v>55</v>
      </c>
      <c r="AF135" t="s">
        <v>49</v>
      </c>
      <c r="AG135">
        <v>124027</v>
      </c>
      <c r="AH135" s="1" t="s">
        <v>949</v>
      </c>
      <c r="AI135" t="s">
        <v>950</v>
      </c>
    </row>
    <row r="136" spans="1:35" x14ac:dyDescent="0.25">
      <c r="A136" t="s">
        <v>32</v>
      </c>
      <c r="B136" t="s">
        <v>32</v>
      </c>
      <c r="C136" t="s">
        <v>33</v>
      </c>
      <c r="D136" t="s">
        <v>34</v>
      </c>
      <c r="E136" t="s">
        <v>951</v>
      </c>
      <c r="F136" t="s">
        <v>952</v>
      </c>
      <c r="G136" s="3" t="s">
        <v>37</v>
      </c>
      <c r="H136" s="3" t="str">
        <f t="shared" si="6"/>
        <v>TK</v>
      </c>
      <c r="I136" s="3" t="str">
        <f t="shared" si="7"/>
        <v>2</v>
      </c>
      <c r="J136" s="3" t="str">
        <f t="shared" si="8"/>
        <v>TK/2</v>
      </c>
      <c r="K136" t="s">
        <v>205</v>
      </c>
      <c r="L136" t="s">
        <v>206</v>
      </c>
      <c r="M136" t="s">
        <v>89</v>
      </c>
      <c r="N136" t="s">
        <v>953</v>
      </c>
      <c r="O136" t="s">
        <v>42</v>
      </c>
      <c r="P136" t="s">
        <v>43</v>
      </c>
      <c r="Q136" s="3" t="s">
        <v>954</v>
      </c>
      <c r="R136" t="s">
        <v>952</v>
      </c>
      <c r="S136" t="s">
        <v>938</v>
      </c>
      <c r="T136" t="s">
        <v>644</v>
      </c>
      <c r="U136" t="s">
        <v>279</v>
      </c>
      <c r="V136" t="s">
        <v>48</v>
      </c>
      <c r="W136" t="s">
        <v>49</v>
      </c>
      <c r="X136" t="s">
        <v>49</v>
      </c>
      <c r="Y136" t="s">
        <v>49</v>
      </c>
      <c r="Z136" t="s">
        <v>50</v>
      </c>
      <c r="AA136" t="s">
        <v>51</v>
      </c>
      <c r="AB136" t="s">
        <v>66</v>
      </c>
      <c r="AC136" t="s">
        <v>66</v>
      </c>
      <c r="AD136" t="s">
        <v>93</v>
      </c>
      <c r="AE136" t="s">
        <v>55</v>
      </c>
      <c r="AF136" t="s">
        <v>49</v>
      </c>
      <c r="AG136">
        <v>0</v>
      </c>
      <c r="AH136" s="1" t="s">
        <v>955</v>
      </c>
      <c r="AI136" t="s">
        <v>956</v>
      </c>
    </row>
    <row r="137" spans="1:35" x14ac:dyDescent="0.25">
      <c r="A137" t="s">
        <v>32</v>
      </c>
      <c r="B137" t="s">
        <v>32</v>
      </c>
      <c r="C137" t="s">
        <v>33</v>
      </c>
      <c r="D137" t="s">
        <v>34</v>
      </c>
      <c r="E137" t="s">
        <v>957</v>
      </c>
      <c r="F137" t="s">
        <v>958</v>
      </c>
      <c r="G137" s="3" t="s">
        <v>37</v>
      </c>
      <c r="H137" s="3" t="str">
        <f t="shared" si="6"/>
        <v>K</v>
      </c>
      <c r="I137" s="3" t="str">
        <f t="shared" si="7"/>
        <v>0</v>
      </c>
      <c r="J137" s="3" t="str">
        <f t="shared" si="8"/>
        <v>K/0</v>
      </c>
      <c r="K137" t="s">
        <v>87</v>
      </c>
      <c r="L137" t="s">
        <v>88</v>
      </c>
      <c r="M137" t="s">
        <v>109</v>
      </c>
      <c r="N137" t="s">
        <v>959</v>
      </c>
      <c r="O137" t="s">
        <v>42</v>
      </c>
      <c r="P137" t="s">
        <v>43</v>
      </c>
      <c r="Q137" s="3" t="s">
        <v>960</v>
      </c>
      <c r="R137" t="s">
        <v>958</v>
      </c>
      <c r="S137" t="s">
        <v>938</v>
      </c>
      <c r="T137" t="s">
        <v>961</v>
      </c>
      <c r="U137" t="s">
        <v>148</v>
      </c>
      <c r="V137" t="s">
        <v>48</v>
      </c>
      <c r="W137" t="s">
        <v>49</v>
      </c>
      <c r="X137" t="s">
        <v>49</v>
      </c>
      <c r="Y137" t="s">
        <v>49</v>
      </c>
      <c r="Z137" t="s">
        <v>50</v>
      </c>
      <c r="AA137" t="s">
        <v>51</v>
      </c>
      <c r="AB137" t="s">
        <v>66</v>
      </c>
      <c r="AC137" t="s">
        <v>66</v>
      </c>
      <c r="AD137" t="s">
        <v>114</v>
      </c>
      <c r="AE137" t="s">
        <v>55</v>
      </c>
      <c r="AF137" t="s">
        <v>49</v>
      </c>
      <c r="AG137">
        <v>0</v>
      </c>
      <c r="AH137" s="1" t="s">
        <v>962</v>
      </c>
      <c r="AI137" t="s">
        <v>963</v>
      </c>
    </row>
    <row r="138" spans="1:35" x14ac:dyDescent="0.25">
      <c r="A138" t="s">
        <v>32</v>
      </c>
      <c r="B138" t="s">
        <v>32</v>
      </c>
      <c r="C138" t="s">
        <v>33</v>
      </c>
      <c r="D138" t="s">
        <v>34</v>
      </c>
      <c r="E138" t="s">
        <v>964</v>
      </c>
      <c r="F138" t="s">
        <v>965</v>
      </c>
      <c r="G138" s="3" t="s">
        <v>37</v>
      </c>
      <c r="H138" s="3" t="str">
        <f t="shared" si="6"/>
        <v>K</v>
      </c>
      <c r="I138" s="3" t="str">
        <f t="shared" si="7"/>
        <v>2</v>
      </c>
      <c r="J138" s="3" t="str">
        <f t="shared" si="8"/>
        <v>K/2</v>
      </c>
      <c r="K138" t="s">
        <v>87</v>
      </c>
      <c r="L138" t="s">
        <v>88</v>
      </c>
      <c r="M138" t="s">
        <v>89</v>
      </c>
      <c r="N138" t="s">
        <v>966</v>
      </c>
      <c r="O138" t="s">
        <v>42</v>
      </c>
      <c r="P138" t="s">
        <v>43</v>
      </c>
      <c r="Q138" s="3" t="s">
        <v>967</v>
      </c>
      <c r="R138" t="s">
        <v>968</v>
      </c>
      <c r="S138" t="s">
        <v>938</v>
      </c>
      <c r="T138" t="s">
        <v>969</v>
      </c>
      <c r="U138" t="s">
        <v>82</v>
      </c>
      <c r="V138" t="s">
        <v>48</v>
      </c>
      <c r="W138" t="s">
        <v>49</v>
      </c>
      <c r="X138" t="s">
        <v>49</v>
      </c>
      <c r="Y138" t="s">
        <v>49</v>
      </c>
      <c r="Z138" t="s">
        <v>50</v>
      </c>
      <c r="AA138" t="s">
        <v>51</v>
      </c>
      <c r="AB138" t="s">
        <v>66</v>
      </c>
      <c r="AC138" t="s">
        <v>66</v>
      </c>
      <c r="AD138" t="s">
        <v>93</v>
      </c>
      <c r="AE138" t="s">
        <v>55</v>
      </c>
      <c r="AF138" t="s">
        <v>49</v>
      </c>
      <c r="AG138">
        <v>0</v>
      </c>
      <c r="AH138" s="1" t="s">
        <v>970</v>
      </c>
      <c r="AI138" t="s">
        <v>971</v>
      </c>
    </row>
    <row r="139" spans="1:35" x14ac:dyDescent="0.25">
      <c r="A139" t="s">
        <v>32</v>
      </c>
      <c r="B139" t="s">
        <v>32</v>
      </c>
      <c r="C139" t="s">
        <v>33</v>
      </c>
      <c r="D139" t="s">
        <v>34</v>
      </c>
      <c r="E139" t="s">
        <v>972</v>
      </c>
      <c r="F139" t="s">
        <v>973</v>
      </c>
      <c r="G139" s="3" t="s">
        <v>37</v>
      </c>
      <c r="H139" s="3" t="str">
        <f t="shared" si="6"/>
        <v>K</v>
      </c>
      <c r="I139" s="3" t="str">
        <f t="shared" si="7"/>
        <v>0</v>
      </c>
      <c r="J139" s="3" t="str">
        <f t="shared" si="8"/>
        <v>K/0</v>
      </c>
      <c r="K139" t="s">
        <v>38</v>
      </c>
      <c r="L139" t="s">
        <v>39</v>
      </c>
      <c r="M139" t="s">
        <v>40</v>
      </c>
      <c r="N139" t="s">
        <v>974</v>
      </c>
      <c r="O139" t="s">
        <v>42</v>
      </c>
      <c r="P139" t="s">
        <v>43</v>
      </c>
      <c r="Q139" s="3" t="s">
        <v>975</v>
      </c>
      <c r="R139" t="s">
        <v>973</v>
      </c>
      <c r="S139" t="s">
        <v>938</v>
      </c>
      <c r="T139" t="s">
        <v>46</v>
      </c>
      <c r="U139" t="s">
        <v>148</v>
      </c>
      <c r="V139" t="s">
        <v>48</v>
      </c>
      <c r="W139" t="s">
        <v>49</v>
      </c>
      <c r="X139" t="s">
        <v>49</v>
      </c>
      <c r="Y139" t="s">
        <v>49</v>
      </c>
      <c r="Z139" t="s">
        <v>50</v>
      </c>
      <c r="AA139" t="s">
        <v>51</v>
      </c>
      <c r="AB139" t="s">
        <v>66</v>
      </c>
      <c r="AC139" t="s">
        <v>66</v>
      </c>
      <c r="AD139" t="s">
        <v>54</v>
      </c>
      <c r="AE139" t="s">
        <v>55</v>
      </c>
      <c r="AF139" t="s">
        <v>49</v>
      </c>
      <c r="AG139">
        <v>0</v>
      </c>
      <c r="AH139" s="1" t="s">
        <v>976</v>
      </c>
      <c r="AI139" t="s">
        <v>977</v>
      </c>
    </row>
    <row r="140" spans="1:35" x14ac:dyDescent="0.25">
      <c r="A140" t="s">
        <v>32</v>
      </c>
      <c r="B140" t="s">
        <v>32</v>
      </c>
      <c r="C140" t="s">
        <v>33</v>
      </c>
      <c r="D140" t="s">
        <v>34</v>
      </c>
      <c r="E140" t="s">
        <v>978</v>
      </c>
      <c r="F140" t="s">
        <v>979</v>
      </c>
      <c r="G140" s="3" t="s">
        <v>37</v>
      </c>
      <c r="H140" s="3" t="str">
        <f t="shared" si="6"/>
        <v>K</v>
      </c>
      <c r="I140" s="3" t="str">
        <f t="shared" si="7"/>
        <v>2</v>
      </c>
      <c r="J140" s="3" t="str">
        <f t="shared" si="8"/>
        <v>K/2</v>
      </c>
      <c r="K140" t="s">
        <v>107</v>
      </c>
      <c r="L140" t="s">
        <v>108</v>
      </c>
      <c r="M140" t="s">
        <v>109</v>
      </c>
      <c r="N140" t="s">
        <v>980</v>
      </c>
      <c r="O140" t="s">
        <v>42</v>
      </c>
      <c r="P140" t="s">
        <v>43</v>
      </c>
      <c r="Q140" s="3" t="s">
        <v>981</v>
      </c>
      <c r="R140" t="s">
        <v>979</v>
      </c>
      <c r="S140" t="s">
        <v>938</v>
      </c>
      <c r="T140" t="s">
        <v>982</v>
      </c>
      <c r="U140" t="s">
        <v>82</v>
      </c>
      <c r="V140" t="s">
        <v>48</v>
      </c>
      <c r="W140" t="s">
        <v>49</v>
      </c>
      <c r="X140" t="s">
        <v>49</v>
      </c>
      <c r="Y140" t="s">
        <v>49</v>
      </c>
      <c r="Z140" t="s">
        <v>50</v>
      </c>
      <c r="AA140" t="s">
        <v>51</v>
      </c>
      <c r="AB140" t="s">
        <v>66</v>
      </c>
      <c r="AC140" t="s">
        <v>66</v>
      </c>
      <c r="AD140" t="s">
        <v>114</v>
      </c>
      <c r="AE140" t="s">
        <v>55</v>
      </c>
      <c r="AF140" t="s">
        <v>49</v>
      </c>
      <c r="AG140">
        <v>0</v>
      </c>
      <c r="AH140" s="1" t="s">
        <v>983</v>
      </c>
      <c r="AI140" t="s">
        <v>984</v>
      </c>
    </row>
    <row r="141" spans="1:35" x14ac:dyDescent="0.25">
      <c r="A141" t="s">
        <v>32</v>
      </c>
      <c r="B141" t="s">
        <v>32</v>
      </c>
      <c r="C141" t="s">
        <v>33</v>
      </c>
      <c r="D141" t="s">
        <v>34</v>
      </c>
      <c r="E141" t="s">
        <v>985</v>
      </c>
      <c r="F141" t="s">
        <v>986</v>
      </c>
      <c r="G141" s="3" t="s">
        <v>37</v>
      </c>
      <c r="H141" s="3" t="str">
        <f t="shared" si="6"/>
        <v>K</v>
      </c>
      <c r="I141" s="3" t="str">
        <f t="shared" si="7"/>
        <v>2</v>
      </c>
      <c r="J141" s="3" t="str">
        <f t="shared" si="8"/>
        <v>K/2</v>
      </c>
      <c r="K141" t="s">
        <v>98</v>
      </c>
      <c r="L141" t="s">
        <v>99</v>
      </c>
      <c r="M141" t="s">
        <v>207</v>
      </c>
      <c r="N141" t="s">
        <v>987</v>
      </c>
      <c r="O141" t="s">
        <v>42</v>
      </c>
      <c r="P141" t="s">
        <v>43</v>
      </c>
      <c r="Q141" s="3" t="s">
        <v>988</v>
      </c>
      <c r="R141" t="s">
        <v>989</v>
      </c>
      <c r="S141" t="s">
        <v>938</v>
      </c>
      <c r="T141" t="s">
        <v>225</v>
      </c>
      <c r="U141" t="s">
        <v>82</v>
      </c>
      <c r="V141" t="s">
        <v>48</v>
      </c>
      <c r="W141" t="s">
        <v>49</v>
      </c>
      <c r="X141" t="s">
        <v>49</v>
      </c>
      <c r="Y141" t="s">
        <v>49</v>
      </c>
      <c r="Z141" t="s">
        <v>50</v>
      </c>
      <c r="AA141" t="s">
        <v>51</v>
      </c>
      <c r="AB141" t="s">
        <v>66</v>
      </c>
      <c r="AC141" t="s">
        <v>66</v>
      </c>
      <c r="AD141" t="s">
        <v>212</v>
      </c>
      <c r="AE141" t="s">
        <v>55</v>
      </c>
      <c r="AF141" t="s">
        <v>49</v>
      </c>
      <c r="AG141">
        <v>0</v>
      </c>
      <c r="AH141" s="1" t="s">
        <v>990</v>
      </c>
      <c r="AI141" t="s">
        <v>991</v>
      </c>
    </row>
    <row r="142" spans="1:35" x14ac:dyDescent="0.25">
      <c r="A142" t="s">
        <v>32</v>
      </c>
      <c r="B142" t="s">
        <v>32</v>
      </c>
      <c r="C142" t="s">
        <v>33</v>
      </c>
      <c r="D142" t="s">
        <v>34</v>
      </c>
      <c r="E142" t="s">
        <v>992</v>
      </c>
      <c r="F142" t="s">
        <v>993</v>
      </c>
      <c r="G142" s="3" t="s">
        <v>37</v>
      </c>
      <c r="H142" s="3" t="str">
        <f t="shared" si="6"/>
        <v>K</v>
      </c>
      <c r="I142" s="3" t="str">
        <f t="shared" si="7"/>
        <v>1</v>
      </c>
      <c r="J142" s="3" t="str">
        <f t="shared" si="8"/>
        <v>K/1</v>
      </c>
      <c r="K142" t="s">
        <v>274</v>
      </c>
      <c r="L142" t="s">
        <v>275</v>
      </c>
      <c r="M142" t="s">
        <v>89</v>
      </c>
      <c r="N142" t="s">
        <v>994</v>
      </c>
      <c r="O142" t="s">
        <v>42</v>
      </c>
      <c r="P142" t="s">
        <v>43</v>
      </c>
      <c r="Q142" s="3" t="s">
        <v>995</v>
      </c>
      <c r="R142" t="s">
        <v>996</v>
      </c>
      <c r="S142" t="s">
        <v>938</v>
      </c>
      <c r="T142" t="s">
        <v>997</v>
      </c>
      <c r="U142" t="s">
        <v>73</v>
      </c>
      <c r="V142" t="s">
        <v>48</v>
      </c>
      <c r="W142" t="s">
        <v>49</v>
      </c>
      <c r="X142" t="s">
        <v>49</v>
      </c>
      <c r="Y142" t="s">
        <v>49</v>
      </c>
      <c r="Z142" t="s">
        <v>50</v>
      </c>
      <c r="AA142" t="s">
        <v>51</v>
      </c>
      <c r="AB142" t="s">
        <v>66</v>
      </c>
      <c r="AC142" t="s">
        <v>66</v>
      </c>
      <c r="AD142" t="s">
        <v>93</v>
      </c>
      <c r="AE142" t="s">
        <v>55</v>
      </c>
      <c r="AF142" t="s">
        <v>49</v>
      </c>
      <c r="AG142">
        <v>0</v>
      </c>
      <c r="AH142" s="1" t="s">
        <v>998</v>
      </c>
      <c r="AI142" t="s">
        <v>999</v>
      </c>
    </row>
    <row r="143" spans="1:35" x14ac:dyDescent="0.25">
      <c r="A143" t="s">
        <v>32</v>
      </c>
      <c r="B143" t="s">
        <v>32</v>
      </c>
      <c r="C143" t="s">
        <v>33</v>
      </c>
      <c r="D143" t="s">
        <v>34</v>
      </c>
      <c r="E143" t="s">
        <v>1000</v>
      </c>
      <c r="F143" t="s">
        <v>1001</v>
      </c>
      <c r="G143" s="3" t="s">
        <v>37</v>
      </c>
      <c r="H143" s="3" t="str">
        <f t="shared" si="6"/>
        <v>K</v>
      </c>
      <c r="I143" s="3" t="str">
        <f t="shared" si="7"/>
        <v>2</v>
      </c>
      <c r="J143" s="3" t="str">
        <f t="shared" si="8"/>
        <v>K/2</v>
      </c>
      <c r="K143" t="s">
        <v>107</v>
      </c>
      <c r="L143" t="s">
        <v>108</v>
      </c>
      <c r="M143" t="s">
        <v>109</v>
      </c>
      <c r="N143" t="s">
        <v>1002</v>
      </c>
      <c r="O143" t="s">
        <v>42</v>
      </c>
      <c r="P143" t="s">
        <v>43</v>
      </c>
      <c r="Q143" s="3" t="s">
        <v>1003</v>
      </c>
      <c r="R143" t="s">
        <v>1004</v>
      </c>
      <c r="S143" t="s">
        <v>938</v>
      </c>
      <c r="T143" t="s">
        <v>947</v>
      </c>
      <c r="U143" t="s">
        <v>82</v>
      </c>
      <c r="V143" t="s">
        <v>48</v>
      </c>
      <c r="W143" t="s">
        <v>49</v>
      </c>
      <c r="X143" t="s">
        <v>49</v>
      </c>
      <c r="Y143" t="s">
        <v>49</v>
      </c>
      <c r="Z143" t="s">
        <v>50</v>
      </c>
      <c r="AA143" t="s">
        <v>51</v>
      </c>
      <c r="AB143" t="s">
        <v>66</v>
      </c>
      <c r="AC143" t="s">
        <v>66</v>
      </c>
      <c r="AD143" t="s">
        <v>114</v>
      </c>
      <c r="AE143" t="s">
        <v>55</v>
      </c>
      <c r="AF143" t="s">
        <v>49</v>
      </c>
      <c r="AG143">
        <v>0</v>
      </c>
      <c r="AH143" s="1" t="s">
        <v>1005</v>
      </c>
      <c r="AI143" t="s">
        <v>1006</v>
      </c>
    </row>
    <row r="144" spans="1:35" x14ac:dyDescent="0.25">
      <c r="A144" t="s">
        <v>32</v>
      </c>
      <c r="B144" t="s">
        <v>32</v>
      </c>
      <c r="C144" t="s">
        <v>33</v>
      </c>
      <c r="D144" t="s">
        <v>34</v>
      </c>
      <c r="E144" t="s">
        <v>1007</v>
      </c>
      <c r="F144" t="s">
        <v>1008</v>
      </c>
      <c r="G144" s="3" t="s">
        <v>37</v>
      </c>
      <c r="H144" s="3" t="str">
        <f t="shared" si="6"/>
        <v>K</v>
      </c>
      <c r="I144" s="3" t="str">
        <f t="shared" si="7"/>
        <v>1</v>
      </c>
      <c r="J144" s="3" t="str">
        <f t="shared" si="8"/>
        <v>K/1</v>
      </c>
      <c r="K144" t="s">
        <v>1009</v>
      </c>
      <c r="L144" t="s">
        <v>1010</v>
      </c>
      <c r="M144" t="s">
        <v>305</v>
      </c>
      <c r="N144" t="s">
        <v>1011</v>
      </c>
      <c r="O144" t="s">
        <v>1012</v>
      </c>
      <c r="P144" t="s">
        <v>1013</v>
      </c>
      <c r="Q144" s="3" t="s">
        <v>1014</v>
      </c>
      <c r="R144" t="s">
        <v>1015</v>
      </c>
      <c r="S144" t="s">
        <v>938</v>
      </c>
      <c r="T144" t="s">
        <v>1016</v>
      </c>
      <c r="U144" t="s">
        <v>73</v>
      </c>
      <c r="V144" t="s">
        <v>48</v>
      </c>
      <c r="W144" t="s">
        <v>49</v>
      </c>
      <c r="X144" t="s">
        <v>49</v>
      </c>
      <c r="Y144" t="s">
        <v>49</v>
      </c>
      <c r="Z144" t="s">
        <v>50</v>
      </c>
      <c r="AA144" t="s">
        <v>51</v>
      </c>
      <c r="AB144" t="s">
        <v>66</v>
      </c>
      <c r="AC144" t="s">
        <v>66</v>
      </c>
      <c r="AD144" t="s">
        <v>310</v>
      </c>
      <c r="AE144" t="s">
        <v>55</v>
      </c>
      <c r="AF144" t="s">
        <v>49</v>
      </c>
      <c r="AG144">
        <v>0</v>
      </c>
      <c r="AH144" s="2" t="s">
        <v>1018</v>
      </c>
      <c r="AI144" t="s">
        <v>1017</v>
      </c>
    </row>
  </sheetData>
  <pageMargins left="0.7" right="0.7" top="0.75" bottom="0.75" header="0.3" footer="0.3"/>
  <pageSetup orientation="portrait" r:id="rId1"/>
  <ignoredErrors>
    <ignoredError sqref="K1:AJ133 K145:AJ145 K144:AG144 AI144:AJ144 K136:AJ143 K134:AG135 AI134:AJ135 A1:G116 A118:G145 A117:E117 G1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2026-04-23T07:55:10Z</dcterms:modified>
</cp:coreProperties>
</file>