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MyBook Pro 105\Downloads\"/>
    </mc:Choice>
  </mc:AlternateContent>
  <xr:revisionPtr revIDLastSave="0" documentId="13_ncr:1_{64F03392-EA69-4A27-81A4-8314DADA1B3C}" xr6:coauthVersionLast="47" xr6:coauthVersionMax="47" xr10:uidLastSave="{00000000-0000-0000-0000-000000000000}"/>
  <bookViews>
    <workbookView xWindow="-108" yWindow="-108" windowWidth="23256" windowHeight="12456" firstSheet="6" activeTab="8" xr2:uid="{00000000-000D-0000-FFFF-FFFF00000000}"/>
  </bookViews>
  <sheets>
    <sheet name="SEP" sheetId="1" r:id="rId1"/>
    <sheet name="OKT" sheetId="2" r:id="rId2"/>
    <sheet name="NOV" sheetId="3" r:id="rId3"/>
    <sheet name="SISA BARANG NOV" sheetId="5" r:id="rId4"/>
    <sheet name="SISA DES" sheetId="6" r:id="rId5"/>
    <sheet name="DES" sheetId="4" r:id="rId6"/>
    <sheet name="KENAIKAN HARGA" sheetId="8" r:id="rId7"/>
    <sheet name="JAN" sheetId="7" r:id="rId8"/>
    <sheet name="FEB" sheetId="9" r:id="rId9"/>
    <sheet name="MAR" sheetId="10" r:id="rId10"/>
  </sheets>
  <definedNames>
    <definedName name="_xlnm.Print_Area" localSheetId="0">SEP!$A$1:$E$309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1" i="9" l="1"/>
  <c r="D91" i="9"/>
  <c r="E11" i="10"/>
  <c r="D11" i="10"/>
  <c r="D12" i="10" s="1"/>
  <c r="D92" i="9" l="1"/>
  <c r="E110" i="7"/>
  <c r="D110" i="7"/>
  <c r="G15" i="8"/>
  <c r="H14" i="8"/>
  <c r="G14" i="8"/>
  <c r="E14" i="8"/>
  <c r="D14" i="8"/>
  <c r="D15" i="8"/>
  <c r="D111" i="7" l="1"/>
  <c r="F9" i="5"/>
  <c r="E83" i="4"/>
  <c r="D84" i="4" s="1"/>
  <c r="D83" i="4"/>
  <c r="F4" i="5"/>
  <c r="F5" i="5"/>
  <c r="F6" i="5"/>
  <c r="F7" i="5"/>
  <c r="F8" i="5"/>
  <c r="D221" i="3"/>
  <c r="E221" i="3"/>
  <c r="E276" i="2" l="1"/>
  <c r="D276" i="2"/>
  <c r="D284" i="1"/>
  <c r="E285" i="1"/>
  <c r="D222" i="3" l="1"/>
  <c r="D277" i="2"/>
  <c r="D285" i="1"/>
</calcChain>
</file>

<file path=xl/sharedStrings.xml><?xml version="1.0" encoding="utf-8"?>
<sst xmlns="http://schemas.openxmlformats.org/spreadsheetml/2006/main" count="1117" uniqueCount="551">
  <si>
    <t>LAPORAN KEUANGAN TATA URUSAN KOPERASI DAN KEWIRAUSAHAAN SEKOLAH TINGGI INTELIJEN NEGARA</t>
  </si>
  <si>
    <t>No</t>
  </si>
  <si>
    <t>Tanggal</t>
  </si>
  <si>
    <t>Uraian</t>
  </si>
  <si>
    <t>Debet</t>
  </si>
  <si>
    <t>Kredit</t>
  </si>
  <si>
    <t>BULAN SEPTEMBER 2025</t>
  </si>
  <si>
    <t>Keuntungan Bulan September</t>
  </si>
  <si>
    <t>Hasil Penjualan Kebutuhan Taruna</t>
  </si>
  <si>
    <t>Tictac Ayam Bawang 80gr 7 pcs = Rp. 70.000</t>
  </si>
  <si>
    <t>Kusuka Rumput Laut 180gr 2 Pcs = Rp 36.000</t>
  </si>
  <si>
    <t>Top Chocholate 24*9gr 3Box = Rp 90.000</t>
  </si>
  <si>
    <t>Maxicorn Roasted Corn 140gr 10 Pcs = Rp 150.000</t>
  </si>
  <si>
    <t>TOTAL</t>
  </si>
  <si>
    <t>Combociz Saltcheese 175gr 19 Pcs = Rp 266.000</t>
  </si>
  <si>
    <t>Nissin Walens Choco Soes 100gr 21 Pcs = Rp 252.000</t>
  </si>
  <si>
    <t>Japota Happy Honey Butter 58gr 15 Pcs = Rp 195.000</t>
  </si>
  <si>
    <t>Oishii Belgian Butter 100gr 9 Pcs = Rp 180.000</t>
  </si>
  <si>
    <t>Roma Kelapa Biscuit 300gr 18Pcs = Rp 180.000</t>
  </si>
  <si>
    <t>Beng Beng Share it 16*10*8gr 18 Pcs = Rp 270.000</t>
  </si>
  <si>
    <t>Togo Peanut Roll 128gr 18 Pcs = Rp 180.000</t>
  </si>
  <si>
    <t>Happytos Tortilla Chips 140gr 10Pcs = Rp 150.000</t>
  </si>
  <si>
    <t>Togo Peanut Roll 128gr 10 Pcs = Rp 100.000</t>
  </si>
  <si>
    <t>Nissin Walens Choco Soes 100gr 6 Pcs = Rp 72.000</t>
  </si>
  <si>
    <t>Roma Kelapa Biscuit 300gr 8 Pcs = Rp 80.000</t>
  </si>
  <si>
    <t>Oishii Belgian Butter 100gr 2 Pcs = Rp 40.000</t>
  </si>
  <si>
    <t>Beng Beng Share it 16*10*8gr 7 Pcs = Rp 105.000</t>
  </si>
  <si>
    <t>Japota Happy Honey Butter 58gr 4 Pcs = Rp 52.000</t>
  </si>
  <si>
    <t>Combociz Saltcheese 175gr 9 Pcs = Rp 126.000</t>
  </si>
  <si>
    <t>Tictac Ayam Bawang 80gr 5 pcs = Rp. 50.000</t>
  </si>
  <si>
    <t>Happytos Tortilla Chips 140gr 2 Pcs = Rp 30.000</t>
  </si>
  <si>
    <t>Maxicorn Roasted Corn 140gr 3 Pcs = Rp 45.000</t>
  </si>
  <si>
    <t>Roma Kelapa Biscuit 300gr 10 Pcs = Rp 100.000</t>
  </si>
  <si>
    <t>Oishii Belgian Butter 100gr 4 Pcs = Rp 80.000</t>
  </si>
  <si>
    <t>Beng Beng Share it 16*10*8gr 5 Pcs = Rp 75.000</t>
  </si>
  <si>
    <t>Togo Peanut Roll 128gr 9 Pcs = Rp 90.000</t>
  </si>
  <si>
    <t>Combociz Saltcheese 175gr 10 Pcs = Rp 140.000</t>
  </si>
  <si>
    <t>Nissin Walens Choco Soes 100gr 8 Pcs = Rp 96.000</t>
  </si>
  <si>
    <t>Top Chocholate 24*9gr 2Box = Rp 60.000</t>
  </si>
  <si>
    <t>Maxicorn Roasted Corn 140gr 5 Pcs = Rp 75.000</t>
  </si>
  <si>
    <t>Roma Kelapa Biscuit 300gr 4 pcs = Rp40.000</t>
  </si>
  <si>
    <t>Beng Beng Share it 16*10*8gr 2 Pcs = Rp30.000</t>
  </si>
  <si>
    <t>Togo Peanut Roll 128gr 5 Pcs = Rp50.000</t>
  </si>
  <si>
    <t>Japota Happy Honey Butter 58gr 2 Pcs = Rp26.000</t>
  </si>
  <si>
    <t>Combociz Saltcheese 175gr 8 Pcs = Rp 112.000</t>
  </si>
  <si>
    <t>Nissin Walens Choco Soes 100gr 7 Pcs = Rp84.000</t>
  </si>
  <si>
    <t>Tictac Ayam Bawang 80gr 2 pcs = Rp20.000</t>
  </si>
  <si>
    <t>Maxicorn Roasted Corn 140gr 1 Pcs = Rp15.000</t>
  </si>
  <si>
    <t>Roma Kelapa Biscuit 300gr 10 pcs = Rp100.000</t>
  </si>
  <si>
    <t>Maxicorn Roasted Corn 140gr 3 Pcs = Rp45.000</t>
  </si>
  <si>
    <t>Japota Happy Honey Butter 58gr 4 Pcs = Rp52.000</t>
  </si>
  <si>
    <t>Nissin Walens Choco Soes 100gr 5 Pcs = Rp60.000</t>
  </si>
  <si>
    <t>Tictac Ayam Bawang 80gr 4 pcs = Rp40.000</t>
  </si>
  <si>
    <t>Top Chocholate 24*9gr 1 Box = Rp 30.000</t>
  </si>
  <si>
    <t>Kusuka Barbeque 180gr 4 Pcs = Rp 72.000</t>
  </si>
  <si>
    <t>Happytos Tortilla Chips 140gr  1 Pcs = R 15.000</t>
  </si>
  <si>
    <t>Togo Peanut Roll 128gr  9 Pcs = Rp 90.000</t>
  </si>
  <si>
    <t>Japota Happy Honey Butter 58gr 8 Pcs = Rp 104.000</t>
  </si>
  <si>
    <t>Combociz Saltcheese 175gr 11 Pcs = Rp 154.000</t>
  </si>
  <si>
    <t>Nissin Walens Choco Soes 100gr  10 Pcs = Rp 120.000</t>
  </si>
  <si>
    <t>Tictac Mie Goreng 80gr 9 pcs = Rp 90.000</t>
  </si>
  <si>
    <t>Kusuka Barbeque 180gr  6 Pcs = Rp 108.000</t>
  </si>
  <si>
    <t>Maxicorn Roasted Corn 140gr 7 Pcs = Rp 105.000</t>
  </si>
  <si>
    <t>Roma Kelapa Biscuit 300gr 5 pcs = Rp 50.000</t>
  </si>
  <si>
    <t>Togo Vanilla Roll 128gr 1 Pcs = Rp 10.000</t>
  </si>
  <si>
    <t>Happytos Tortilla Chips 140gr  1 Pcs = Rp 15.000</t>
  </si>
  <si>
    <t>Togo Vanilla Roll 128gr  10 Pcs = Rp 100.000</t>
  </si>
  <si>
    <t>Japota Happy Honey Butter 58gr 2 Pcs = Rp 26.000</t>
  </si>
  <si>
    <t>Combociz Saltcheese 175gr 5 Pcs = Rp 70.000</t>
  </si>
  <si>
    <t>Nissin Walens Choco Soes 100gr  2 Pcs = Rp 24.000</t>
  </si>
  <si>
    <t>Tictac Mie Goreng 80gr 2 pcs = Rp 20.000</t>
  </si>
  <si>
    <t>Oishii Belgian Butter 100gr 1 Pcs = Rp 20.000</t>
  </si>
  <si>
    <t>Kusuka Barbeque 180gr  4 Pcs = Rp 72.000</t>
  </si>
  <si>
    <t>Maxicorn Roasted Corn 140gr 1 Pcs = Rp 15.000</t>
  </si>
  <si>
    <t>Roma Kelapa Biscuit 300gr 9 pcs = Rp 90.000</t>
  </si>
  <si>
    <t>Top Chocholate 24*9gr 2 Box = Rp 60.000</t>
  </si>
  <si>
    <t>Tictac Ayam Bawang 80gr 2 pcs = Rp 20.000</t>
  </si>
  <si>
    <t>Tictac Mie Goreng 80gr 4 pcs = Rp 40.000</t>
  </si>
  <si>
    <t>Oishii Belgian Butter 100gr 3 Pcs = Rp 60.000</t>
  </si>
  <si>
    <t>Maxicorn Roasted Corn 140gr 4 Pcs = Rp 60.000</t>
  </si>
  <si>
    <t>Roma Kelapa Biscuit 300gr 10 pcs = Rp 100.000</t>
  </si>
  <si>
    <t>Tictac Ayam Bawang 80gr 1 pcs = Rp 10.000</t>
  </si>
  <si>
    <t>Happytos Tortilla Chips 140gr 2  Pcs = Rp 30.000</t>
  </si>
  <si>
    <t>Happytos Tortilla Chips 140gr  20  Pcs = Rp300.000</t>
  </si>
  <si>
    <t>Togo Vanilla Roll 128gr 20 Pcs = Rp 200.000</t>
  </si>
  <si>
    <t>Japota Happy Honey Butter 58gr 20 Pcs = Rp 260.000</t>
  </si>
  <si>
    <t>Combociz Saltcheese 175gr 1 Pcs = Rp 14.000</t>
  </si>
  <si>
    <t>Nissin Walens Choco Soes 100gr  18 Pcs = Rp 216.000</t>
  </si>
  <si>
    <t>Top Chocholate 24*9gr 10 Box = Rp 300.000</t>
  </si>
  <si>
    <t>Oishii Belgian Butter 100gr 20 Pcs = Rp 400.000</t>
  </si>
  <si>
    <t>Kusuka Ayam Lada Hitam 180gr  20 Pcs = Rp 360.000</t>
  </si>
  <si>
    <t>Maxicorn Roasted Corn 140gr 20 Pcs = Rp 300.000</t>
  </si>
  <si>
    <t>Roma Kelapa Biscuit 300gr 6 pcs = Rp 60.000</t>
  </si>
  <si>
    <t>Beng Beng Share it 16*10*8gr 20 Pcs = Rp 300.000</t>
  </si>
  <si>
    <t>Togo Vanilla Roll 128gr 15 Pcs = Rp 150.000</t>
  </si>
  <si>
    <t>Japota Happy Honey Butter 58gr 10 Pcs = Rp 130.000</t>
  </si>
  <si>
    <t>Beng Beng Share it 16*10*8gr 10 Pcs = Rp 150.000</t>
  </si>
  <si>
    <t>Oishii Belgian Butter 100gr 11 Pcs = Rp 220.000</t>
  </si>
  <si>
    <t>Happytos Tortilla Chips 140gr  8  Pcs = Rp120.000</t>
  </si>
  <si>
    <t>Maxicorn Roasted Corn 140gr 12 Pcs = Rp 180.000</t>
  </si>
  <si>
    <t>Togo Vanilla Roll 128gr 14 Pcs = Rp 40.000</t>
  </si>
  <si>
    <t>Oishii Coklat 100gr 10 Pcs = Rp 200.000</t>
  </si>
  <si>
    <t>Maxicorn BBQ 140gr 3 Pcs = Rp 45.000</t>
  </si>
  <si>
    <t>Oishii Coklat 100gr 1 Pcs = Rp 20.000</t>
  </si>
  <si>
    <t>Oishii Belgian 100gr 2 Pcs = Rp 40.000</t>
  </si>
  <si>
    <t>Maxicorn Roasted Corn 140gr 2 Pcs = Rp 30.000</t>
  </si>
  <si>
    <t>Pengeluaran Restock</t>
  </si>
  <si>
    <t>Biaya Transportasi  Pengangkutan = Rp 200.000</t>
  </si>
  <si>
    <t>Roma kelapa Biscuit 300 g 10 pcs = Rp 110.000</t>
  </si>
  <si>
    <t>Beng Beng Shareit 95 gr  2 pcs = Rp 32.000</t>
  </si>
  <si>
    <t>Delfi Top Triple Choc 24X9G 2 pcs = Rp 60.000</t>
  </si>
  <si>
    <t>HappyTos Tortilla Chips 160gr  4 pcs = Rp 60.000</t>
  </si>
  <si>
    <t>OISHI Popcorn Coklat 100g 3 pcs = Rp 60.000</t>
  </si>
  <si>
    <t>Japota Happy Honey Butter 58g 7 pcs = Rp 91.000</t>
  </si>
  <si>
    <t>Kusuka Barbeque 180g  5 pcs = Rp 90.000</t>
  </si>
  <si>
    <t>Salt Cheese Combo 175gr 10 pcs = Rp 140.000</t>
  </si>
  <si>
    <t>Maxicorn Roasted Corn 150 g  8 pcs = Rp 120.000</t>
  </si>
  <si>
    <t>Serena Togo Chocolate 128 g 10 pcs = Rp 100.000</t>
  </si>
  <si>
    <t>Nuvo 800mL  1 pcs = Rp 40.000</t>
  </si>
  <si>
    <t>Nissin Walens Choco Soes 100 g 9 pcs = Rp 108.000</t>
  </si>
  <si>
    <t>Delfi Top Triple Choc 24X9G 1 pcs = Rp 30.000</t>
  </si>
  <si>
    <t>HappyTos Tortilla Chips 160gr  5 pcs = Rp 75.000</t>
  </si>
  <si>
    <t>Japota Happy Honey Butter 58g 5 pcs = Rp 65.000</t>
  </si>
  <si>
    <t>Salt Cheese Combo 175gr 11 pcs = Rp 154.000</t>
  </si>
  <si>
    <t>Kusuka Barbeque 180g  4 pcs = Rp 72.000</t>
  </si>
  <si>
    <t>Maxicorn Roasted Corn 150 g  1 pcs = Rp 15.000</t>
  </si>
  <si>
    <t>Serena Togo Chocolate 128 g 6 pcs = Rp 60.000</t>
  </si>
  <si>
    <t>Nissin Walens Choco Soes 100 g 7 pcs = Rp 84.000</t>
  </si>
  <si>
    <t>SoSoft 700mL  1 pcs = Rp 16.000</t>
  </si>
  <si>
    <t>Roma kelapa Biscuit 300 g 6 pcs = Rp 66.000</t>
  </si>
  <si>
    <t>Pembelian Kebutuhan Taruna = Rp 8.857.000</t>
  </si>
  <si>
    <t>Biaya Operasional = Rp 140.000</t>
  </si>
  <si>
    <t xml:space="preserve">  </t>
  </si>
  <si>
    <t>Beng Beng Shareit 95 gr  5 pcs = Rp 80.000</t>
  </si>
  <si>
    <t>HappyTos Tortilla Chips 160gr  1 pcs = Rp 15.000</t>
  </si>
  <si>
    <t>Japota Happy Honey Butter 58g 3 pcs = Rp 39.000</t>
  </si>
  <si>
    <t>Salt Cheese Combo 175gr 8 pcs = Rp 112.000</t>
  </si>
  <si>
    <t>Kusuka Barbeque 180g  3 pcs = Rp 54.000</t>
  </si>
  <si>
    <t>Maxicorn Barbeque 150 g  2 pcs = Rp 30.000</t>
  </si>
  <si>
    <t>Roma kelapa Biscuit 300 g 9 pcs = Rp 99.000</t>
  </si>
  <si>
    <t>Nissin Walens Choco Soes 100 g 10 pcs = Rp 120.000</t>
  </si>
  <si>
    <t>Oishii Coklat 100gr pcs 1 pcs = Rp 20.000</t>
  </si>
  <si>
    <t>Beng Beng Shareit 95 gr  7 pcs = Rp 112.000</t>
  </si>
  <si>
    <t>Roma kelapa Biscuit 300 g 12 pcs = Rp 132.000</t>
  </si>
  <si>
    <t>Oishii Coklat 100gr pcs 4 pcs = Rp 80.000</t>
  </si>
  <si>
    <t>Oishii Belgian Butter 100gr 6 Pcs = Rp 120.000</t>
  </si>
  <si>
    <t>Maxicorn Barbeque 150 g  20 pcs = Rp 300.000</t>
  </si>
  <si>
    <t>Salt Cheese Combo 175gr 18 pcs = Rp 252.000</t>
  </si>
  <si>
    <t>HappyTos Tortilla Chips 160gr  12 pcs = Rp 180.000</t>
  </si>
  <si>
    <t>Japota Happy Honey Butter 58g 19 pcs = Rp 247.000</t>
  </si>
  <si>
    <t>Nissin Walens Choco Soes 100 g 15 pcs = Rp 180.000</t>
  </si>
  <si>
    <t>Kusuka Barbeque 180g  17 pcs = Rp 306.000</t>
  </si>
  <si>
    <t>Serena Togo Chocolate 128 g 20 pcs = Rp 200.000</t>
  </si>
  <si>
    <t>Serena Togo Chocolate 128 g 2 pcs = Rp 20.000</t>
  </si>
  <si>
    <t>Nissin Walens Choco Soes 100 g 1 pcs = Rp 12.000</t>
  </si>
  <si>
    <t>Salt Cheese Combo 175gr 1 pcs = Rp 14.000</t>
  </si>
  <si>
    <t>Beng Beng Shareit 95 gr  3 pcs = Rp 48.000</t>
  </si>
  <si>
    <t>Salt Cheese Combo 175gr 7 pcs = Rp 98.000</t>
  </si>
  <si>
    <t>Kusuka Ayam Lada Hitam 180g  3 pcs = Rp 54.000</t>
  </si>
  <si>
    <t>Maxicorn Barbeque 150 g  1 pcs = Rp 15.000</t>
  </si>
  <si>
    <t>Nissin Walens Choco Soes 100 g 8 pcs = Rp 96.000</t>
  </si>
  <si>
    <t>Kusuka Chesee Burger 180g 1 pcs = Rp 18.000</t>
  </si>
  <si>
    <t>Maxicorn Barbeque 150 g  8 pcs = Rp 120.000</t>
  </si>
  <si>
    <t>Serena Togo Chocolate 128 g 4 pcs = Rp 40.000</t>
  </si>
  <si>
    <t>Kusuka Ayam Lada Hitam 180g  4 pcs = Rp 72.000</t>
  </si>
  <si>
    <t>Pepsodent 1 pcs = Rp 8.000</t>
  </si>
  <si>
    <t>Beng Beng Shareit 95 gr  12 pcs = Rp 192.000</t>
  </si>
  <si>
    <t>Japota Happy Honey Butter 58g 14 pcs = Rp 182.000</t>
  </si>
  <si>
    <t>HappyTos Tortilla Chips 160gr  11 pcs = Rp 165.000</t>
  </si>
  <si>
    <t>Delfi Top Triple Choc 24X9G 7 pcs = Rp 210.000</t>
  </si>
  <si>
    <t>Serena Togo Chocolate 128 g 25 pcs = Rp 250.000</t>
  </si>
  <si>
    <t>Salt Cheese Combo 175gr 17 pcs = Rp 238.000</t>
  </si>
  <si>
    <t>Oishii Karamel 100gr 7 Pcs = Rp 140.000</t>
  </si>
  <si>
    <t>Maxicorn Barbeque 150 g  15 pcs = Rp 225.000</t>
  </si>
  <si>
    <t>Nissin Walens Choco Soes 100 g 20 pcs = Rp 240.000</t>
  </si>
  <si>
    <t>Roma kelapa Biscuit 300 g 17 pcs = Rp 187.000</t>
  </si>
  <si>
    <t>Japota Happy Honey Butter 58g 10 pcs = Rp 130.000</t>
  </si>
  <si>
    <t>Beng Beng Shareit 95 gr  10 pcs = Rp 160.000</t>
  </si>
  <si>
    <t>Maxicorn Barbeque 150 g  10 pcs = Rp 150.000</t>
  </si>
  <si>
    <t>Roma kelapa Biscuit 300 g 2 pcs = Rp 22.000</t>
  </si>
  <si>
    <t>Serena Togo Chocolate 128 g 3 pcs = Rp 30.000</t>
  </si>
  <si>
    <t>Oishii Karamel 100gr 10 Pcs = Rp 200.000</t>
  </si>
  <si>
    <t>Delfi Top Triple Choc 24X9G 5 pcs = Rp 150.000</t>
  </si>
  <si>
    <t>Gaji Pegawai = Rp 1.500.000</t>
  </si>
  <si>
    <t>Biaya Operasional = Rp 150.000</t>
  </si>
  <si>
    <t>Pembelian Kebutuhan Taruna = Rp 7.785.200</t>
  </si>
  <si>
    <t>Japota Happy Honey Butter 58g 22 pcs = Rp 286.000</t>
  </si>
  <si>
    <t>Beng Beng Shareit 95 gr 16 pcs = Rp 256.000</t>
  </si>
  <si>
    <t>Maxicorn Barbeque 150 g 10 pcs = Rp 150.000</t>
  </si>
  <si>
    <t>Delfi Top Triple Choc 24X9G  1 pcs = Rp 30.000</t>
  </si>
  <si>
    <t>Oishii Karamel 100gr 3 Pcs = Rp 60.000</t>
  </si>
  <si>
    <t>Nissin Walens Choco Soes 100 g 31 pcs = Rp 372.000</t>
  </si>
  <si>
    <t>HappyTos Tortilla Chips 160gr  6 pcs = Rp 90.000</t>
  </si>
  <si>
    <t>Delfi Top Triple Choc 24X9G 3 pcs = Rp 90.000</t>
  </si>
  <si>
    <t>Kusuka Ayam Lada Hitam 180g  10 pcs = Rp 180.000</t>
  </si>
  <si>
    <t>Nissin Walens Choco Soes 100 g 3 pcs = Rp 36.000</t>
  </si>
  <si>
    <t>Salt Cheese Combo 175gr 9 pcs = Rp 135.000</t>
  </si>
  <si>
    <t>Roma kelapa Biscuit 300 g 4 pcs = Rp 44.000</t>
  </si>
  <si>
    <t>Maxicorn Barbeque 150 g  5 pcs = Rp 75.000</t>
  </si>
  <si>
    <t>Japota Happy Honey Butter 58g 2 pcs = Rp 26.000</t>
  </si>
  <si>
    <t>Salt Cheese Combo 175gr 6 pcs = Rp 90.000</t>
  </si>
  <si>
    <t>Kusuka Ayam Lada Hitam 180g  5 pcs = Rp 90.000</t>
  </si>
  <si>
    <t>Roma kelapa Biscuit 300 g 8 pcs = Rp 88.000</t>
  </si>
  <si>
    <t>Kusuka Ayam Lada Hitam 180gr 1 Pcs = Rp 18.000</t>
  </si>
  <si>
    <t>Nissin Walens Choco Soes 100gr 4 Pcs = Rp 48.000</t>
  </si>
  <si>
    <t>Roma Kelapa Biscuit 300gr 3 Pcs = Rp 33.000</t>
  </si>
  <si>
    <t>Combociz Saltcheese 175gr 4 Pcs = Rp 60.000</t>
  </si>
  <si>
    <t>Happytos Tortilla Chips 140gr 1 Pcs = Rp 15.000</t>
  </si>
  <si>
    <t>Beng Beng Share it 16*10*8gr 3 Pcs = Rp 48.000</t>
  </si>
  <si>
    <t>Togo Chocolate 128gr 3 Pcs = Rp 30.000</t>
  </si>
  <si>
    <t>Roma Kelapa Biscuit 300gr 4 Pcs = Rp 44.000</t>
  </si>
  <si>
    <t>Beng Beng Share it 16*10*8gr 5 Pcs = Rp 80.000</t>
  </si>
  <si>
    <t>Togo Chocolate 128gr 4 Pcs = Rp 40.000</t>
  </si>
  <si>
    <t>Japota Happy Honey Butter 58gr 5 Pcs = Rp 65.000</t>
  </si>
  <si>
    <t>Combociz Saltcheese 175gr 6 Pcs = Rp 84.000</t>
  </si>
  <si>
    <t>Nissin Walens Choco Soes 100gr 10 Pcs = Rp 120.000</t>
  </si>
  <si>
    <t>Kusuka Black Pepper 180gr 4 Pcs = Rp 72.000</t>
  </si>
  <si>
    <t>Kusuka Barbeque 180gr 2 Pcs = Rp 36.000</t>
  </si>
  <si>
    <t>Beng Beng Share it 16*10*8gr 10 Pcs = Rp 160.000</t>
  </si>
  <si>
    <t>Togo Chocolate 128gr 10 Pcs = Rp 100.000</t>
  </si>
  <si>
    <t>Oishii Belgian Butter 100gr 10 Pcs = Rp 200.000</t>
  </si>
  <si>
    <t>Roma Kelapa Biscuit 300gr 10 Pcs = Rp 110.000</t>
  </si>
  <si>
    <t>Combociz Saltcheese 175gr 10 Pcs = Rp 150.000</t>
  </si>
  <si>
    <t>Nissin Walens Choco Soes 100gr 9 Pcs = Rp 108.000</t>
  </si>
  <si>
    <t>Kusuka Black Pepper 180gr 3 Pcs = Rp 54.000</t>
  </si>
  <si>
    <t>Kusuka Barbeque 180gr 1 Pcs = Rp 18.000</t>
  </si>
  <si>
    <t>SoSoft 700mL 3 Pcs = Rp48.000</t>
  </si>
  <si>
    <t>Roma Kelapa Biscuit 300gr 20 Pcs = Rp 220.000</t>
  </si>
  <si>
    <t>Oishii Belgian Butter 100gr 12 Pcs = Rp 240.000</t>
  </si>
  <si>
    <t>Beng Beng Share it 16*10*8gr 15 Pcs = Rp 240.000</t>
  </si>
  <si>
    <t>Togo Chocolate 128gr 25 Pcs = Rp 250.000</t>
  </si>
  <si>
    <t>Japota Happy Honey Butter 58gr 25 Pcs = Rp 325.000</t>
  </si>
  <si>
    <t>Combociz Saltcheese 175gr 24 Pcs = Rp 360.000</t>
  </si>
  <si>
    <t>Nissin Walens Choco Soes 100gr 25 Pcs = Rp300.000</t>
  </si>
  <si>
    <t>Happytos Tortilla Chips 140gr 7 Pcs = Rp 105.000</t>
  </si>
  <si>
    <t>Kusuka Barbeque 180gr 13 Pcs = Rp 234.000</t>
  </si>
  <si>
    <t>Kusuka Black Pepper 180gr 1 Pcs = Rp 18.000</t>
  </si>
  <si>
    <t>Top Chocholate 24*9gr 9 Box = Rp 270.000</t>
  </si>
  <si>
    <t>Maxicorn Barbeque 150 g  10 Pcs = Rp 150.000</t>
  </si>
  <si>
    <t>Maxicorn Barbeque 150 g  25 Pcs = Rp 375.000</t>
  </si>
  <si>
    <t>Roma Kelapa Biscuit 300gr 7 Pcs = Rp 77.000</t>
  </si>
  <si>
    <t>Beng Beng Share it 16*10*8gr  3 Pcs = Rp 48.000</t>
  </si>
  <si>
    <t>Togo Chocolate 128gr 11 Pcs = Rp 110.000</t>
  </si>
  <si>
    <t>Combociz Saltcheese 175gr 1 Pcs = Rp 15.000</t>
  </si>
  <si>
    <t>SoSoft 700mL 1 Pcs = Rp16.000</t>
  </si>
  <si>
    <t>Maxicorn Barbeque 150 g  3 Pcs = Rp 45.000</t>
  </si>
  <si>
    <t>Roma Kelapa Biscuit 300gr 11 Pcs = Rp 121.000</t>
  </si>
  <si>
    <t>Togo Chocolate 128gr 17 Pcs = Rp 170.000</t>
  </si>
  <si>
    <t>Nissin Walens Choco Soes 100gr 11 Pcs = Rp 132.000</t>
  </si>
  <si>
    <t>Maxicorn Barbeque 150 g  5 Pcs = Rp 75.000</t>
  </si>
  <si>
    <t>Roma Kelapa Biscuit 300gr 8 Pcs = Rp 88.000</t>
  </si>
  <si>
    <t>Togo Black 128gr 10 Pcs = Rp 100.000</t>
  </si>
  <si>
    <t>Togo Peanut 128gr 4 Pcs = Rp 40.000</t>
  </si>
  <si>
    <t>Japota Happy Honey Butter 58gr 1 Pcs = Rp 13.000</t>
  </si>
  <si>
    <t>Maxicorn Barbeque 150 g  4 Pcs = Rp 60.000</t>
  </si>
  <si>
    <t>Nissin Walens Choco Soes 100gr 2 Pcs = Rp 24.000</t>
  </si>
  <si>
    <t>Pepsodent 75gr 2 Pcs = Rp16.000</t>
  </si>
  <si>
    <t>Togo Peanut 128gr 9 Pcs = Rp 90.000</t>
  </si>
  <si>
    <t>Roma Kelapa Biscuit 300gr 5 Pcs = Rp 55.000</t>
  </si>
  <si>
    <t>Roma Kelapa Biscuit 300gr 22 Pcs = Rp 242.000</t>
  </si>
  <si>
    <t>Oishii Belgian Butter 100gr 7 Pcs = Rp 140.000</t>
  </si>
  <si>
    <t>Japota Happy Honey Butter 58gr 11 Pcs = Rp 143.000</t>
  </si>
  <si>
    <t>Togo Peanut 128gr 17 Pcs = Rp 170.000</t>
  </si>
  <si>
    <t>Togo Black 128gr 14 Pcs = Rp 140.000</t>
  </si>
  <si>
    <t>Maxicorn Barbeque 150 g  2 Pcs = Rp 30.000</t>
  </si>
  <si>
    <t>Happytos Tortilla Chips 140gr 15 Pcs = Rp 225.000</t>
  </si>
  <si>
    <t>Kusuka Barbeque 180gr 10 Pcs = Rp 180.000</t>
  </si>
  <si>
    <t>Beng Beng Share it 16*10*8gr 8 Pcs = Rp 128.000</t>
  </si>
  <si>
    <t>Combociz Saltcheese 175gr 11 Pcs = Rp 165.000</t>
  </si>
  <si>
    <t>Top Chocholate 24*9gr 3 Box = Rp 90.000</t>
  </si>
  <si>
    <t>Pembelian Kebutuhan Taruna = Rp 5.802.500</t>
  </si>
  <si>
    <t>Beng Beng Share it 16*10*8gr 1 Pcs = Rp 16.000</t>
  </si>
  <si>
    <t>Nissin Walens Choco Soes 100gr 1 Pcs = Rp 12.000</t>
  </si>
  <si>
    <t>Combociz Saltcheese 175gr 3 Pcs = Rp 45.000</t>
  </si>
  <si>
    <t>Roma Kelapa Biscuit 300gr 6 Pcs = Rp 66.000</t>
  </si>
  <si>
    <t>Togo Black 128gr 6 Pcs = Rp 60.000</t>
  </si>
  <si>
    <t>Pepsodent 75gr 1 Pcs = Rp 8.000</t>
  </si>
  <si>
    <t>Togo Black 128gr 10 Pcs = Rp100.000</t>
  </si>
  <si>
    <t>Beng Beng Share it 16*10*8gr 1 Pcs = Rp16.000</t>
  </si>
  <si>
    <t>Roma Kelapa Biscuit 300gr 4 Pcs = Rp44.000</t>
  </si>
  <si>
    <t>Japota Happy Honey Butter 58gr 7 Pcs = Rp 91.000</t>
  </si>
  <si>
    <t>Combociz Saltcheese 175gr 5 Pcs = Rp 75.000</t>
  </si>
  <si>
    <t>Nissin Walens Choco Soes 100gr 7 Pcs = Rp 84.000</t>
  </si>
  <si>
    <t>Oishii Caramel 100gr 2 Pcs = Rp 40.000</t>
  </si>
  <si>
    <t>Roma Kelapa Biscuit 300gr 3 Pcs = Rp33.000</t>
  </si>
  <si>
    <t>Beng Beng Share it 16*10*8gr 2 Pcs = Rp32.000</t>
  </si>
  <si>
    <t>Togo Black 128gr 9 Pcs = Rp90.000</t>
  </si>
  <si>
    <t>Japota Happy Honey Butter 58gr 6 Pcs = Rp 78.000</t>
  </si>
  <si>
    <t>Kusuka Black Pepper 180gr 2 Pcs = Rp 36.000</t>
  </si>
  <si>
    <t>Maxicorn Barbeque 150 g  1 Pcs = Rp 15.000</t>
  </si>
  <si>
    <t>SoSoft 700mL 2 Pcs = Rp 32.000</t>
  </si>
  <si>
    <t>Togo Black 128gr 5 Pcs = Rp 50.000</t>
  </si>
  <si>
    <t>Kusuka Black Pepper 180gr 6 Pcs = Rp 108.000</t>
  </si>
  <si>
    <t>BULAN OKTOBER 2025</t>
  </si>
  <si>
    <t>Keuntungan Bulan Oktober</t>
  </si>
  <si>
    <t>Japota Happy Honey Butter 58gr 3 Pcs = Rp 39.000</t>
  </si>
  <si>
    <t>Oishii Karamel 100gr 1 Pcs = Rp 20.000</t>
  </si>
  <si>
    <t>Oishii Belgian 100gr 1 Pcs = Rp 20.000</t>
  </si>
  <si>
    <t>Kusuka Singkong 180gr 1 Pcs = Rp 18.000</t>
  </si>
  <si>
    <t>Kusuka Singkong 180gr 8 Pcs = Rp 144.000</t>
  </si>
  <si>
    <t>Oishii Karamel 100gr 5 Pcs = Rp 100.000</t>
  </si>
  <si>
    <t>Kusuka Rumput Laut 180gr 4 Pcs = Rp 72.000</t>
  </si>
  <si>
    <t>Oishii Karamel 100gr 2 Pcs = Rp 40.000</t>
  </si>
  <si>
    <t>Japota Happy Honey Butter 58gr 27 Pcs = Rp 351.000</t>
  </si>
  <si>
    <t>Kusuka Black Papper 180gr 3 Pcs = Rp 54.000</t>
  </si>
  <si>
    <t>Kusuka Rumput Laut 180gr 6 Pcs = Rp 108.000</t>
  </si>
  <si>
    <t>SoSoft 700mL 1 Pcs = Rp 16.000</t>
  </si>
  <si>
    <t>Beng Beng Share it 16*10*8gr 20 Pcs = Rp 320.000</t>
  </si>
  <si>
    <t>Top Chocholate 24*9gr 5 Box = Rp 150.000</t>
  </si>
  <si>
    <t>Nissin Walens Choco Soes 100gr 20 Pcs = Rp 240.000</t>
  </si>
  <si>
    <t>Maxicorn Roasted Corn 140gr 16 Pcs = Rp 240.000</t>
  </si>
  <si>
    <t>Happytos Tortilla Chips 140gr 12 Pcs = Rp 180.000</t>
  </si>
  <si>
    <t>Oishii Caramel 100gr 14 Pcs = Rp 280.000</t>
  </si>
  <si>
    <t>Togo Peanut 128gr 19 Pcs = Rp 190.000</t>
  </si>
  <si>
    <t>Combociz Saltcheese 175gr 20 Pcs = Rp 300.000</t>
  </si>
  <si>
    <t>Pembelian Kebutuhan Taruna = Rp 6.257.500</t>
  </si>
  <si>
    <t>Beng Beng Share it 16*10*8gr 7 Pcs = Rp 112.000</t>
  </si>
  <si>
    <t>Togo Choco 128gr 16 Pcs = Rp 160.000</t>
  </si>
  <si>
    <t>Japota Happy Honey Butter 58gr 18 Pcs = Rp 234.000</t>
  </si>
  <si>
    <t>Combociz Saltcheese 175gr 17 Pcs = Rp 255.000</t>
  </si>
  <si>
    <t>Happytos Tortilla Chips 140gr 3 Pcs = Rp 45.000</t>
  </si>
  <si>
    <t>Kusuka Barbeque 180gr 17 Pcs = Rp 306.000</t>
  </si>
  <si>
    <t>Top Chocholate 24*9gr 4 Box = Rp 120.000</t>
  </si>
  <si>
    <t>Maxicorn Barbeque 150 g  9 Pcs = Rp 135.000</t>
  </si>
  <si>
    <t>Roma Kelapa Biscuit 300gr 2 Pcs = Rp 22.000</t>
  </si>
  <si>
    <t>Togo Choco 128gr 1 Pcs = Rp 10.000</t>
  </si>
  <si>
    <t>Kusuka Rumput Laut 180gr 1 Pcs = Rp 18.000</t>
  </si>
  <si>
    <t>Roma Kelapa Biscuit 300gr 1 Pcs = Rp 11.000</t>
  </si>
  <si>
    <t>Togo Peanut 128gr 2 Pcs = Rp 20.000</t>
  </si>
  <si>
    <t>Maxicorn Roasted Corn 150 g  2 Pcs = Rp 30.000</t>
  </si>
  <si>
    <t>Top Chocholate 24*9gr 1' Box = Rp 30.000</t>
  </si>
  <si>
    <t>Pembelian Kebutuhan Taruna = Rp 2.596.300</t>
  </si>
  <si>
    <t>Beng Beng Share it 16*10*8gr 6 Pcs = Rp 96.000</t>
  </si>
  <si>
    <t>Togo Peanut 128gr 8 Pcs = Rp 80.000</t>
  </si>
  <si>
    <t>Nissin Walens Choco Soes 100gr 14 Pcs = Rp 168.000</t>
  </si>
  <si>
    <t>Kusuka Rumput Laut  180gr 7 Pcs = Rp 126.000</t>
  </si>
  <si>
    <t>Maxicorn Roasted Corn150 g  5 Pcs = Rp 75.000</t>
  </si>
  <si>
    <t>BULAN NOVEMBER 2025</t>
  </si>
  <si>
    <t>Beng Beng Share it 16*10*8gr 4 Pcs = Rp 64.000</t>
  </si>
  <si>
    <t>Combociz Saltcheese 175gr 7 Pcs = Rp 105.000</t>
  </si>
  <si>
    <t>Roma Kelapa Biscuit 300gr 9 Pcs = Rp 99.000</t>
  </si>
  <si>
    <t>Togo Peanut 128gr 6 Pcs = Rp 60.000</t>
  </si>
  <si>
    <t>Kusuka Barbeque 180gr 8 Pcs = Rp 144.000</t>
  </si>
  <si>
    <t>Keuntungan Bulan November</t>
  </si>
  <si>
    <t>Togo Peanut 128gr 7 Pcs = Rp 70.000</t>
  </si>
  <si>
    <t>Combociz Saltcheese 175gr 2 Pcs = Rp 30.000</t>
  </si>
  <si>
    <t>Top Chocholate 24*9gr 3 Box = Rp90.000</t>
  </si>
  <si>
    <t>Kusuka Ayam Lada Hitam 180gr 17 Pcs = Rp306.000</t>
  </si>
  <si>
    <t>Maxicorn Roasted Corn 140gr 11 Pcs = Rp165.000</t>
  </si>
  <si>
    <t>Beng Beng Share it 16*10*8gr 20 Pcs = Rp320.000</t>
  </si>
  <si>
    <t>Combociz Saltcheese 175gr 20 Pcs = Rp320.000</t>
  </si>
  <si>
    <t>Happytos Tortilla Chips 140gr 17 Pcs = Rp255.000</t>
  </si>
  <si>
    <t>Roma Kelapa Biscuit 300gr 21 Pcs = Rp231.000</t>
  </si>
  <si>
    <t>Nissin Walens Choco Soes 100gr 20 Pcs = Rp240.000</t>
  </si>
  <si>
    <t>Togo Chocolate 128gr 20 Pcs = Rp200.000</t>
  </si>
  <si>
    <t>Japota Happy Honey Butter 58gr 19 Pcs = Rp247.000</t>
  </si>
  <si>
    <t>Pepsodent 75gr 1 Pcs = Rp8.000</t>
  </si>
  <si>
    <t>Top Chocholate 24*9gr 1 Box = Rp30.000</t>
  </si>
  <si>
    <t>Kusuka Ayam Barbeque 180gr 4 Pcs = Rp72.000</t>
  </si>
  <si>
    <t>Maxicorn Roasted Corn 140gr 4 Pcs = Rp60.000</t>
  </si>
  <si>
    <t>Beng Beng Share it 16*10*8gr 3 Pcs = Rp48.000</t>
  </si>
  <si>
    <t>Combociz Saltcheese 175gr 14 Pcs = Rp210.000</t>
  </si>
  <si>
    <t>Happytos Tortilla Chips 140gr 2 Pcs = Rp30.000</t>
  </si>
  <si>
    <t>Nissin Walens Choco Soes 100gr 10 Pcs = Rp120.000</t>
  </si>
  <si>
    <t>Roma Kelapa Biscuit 300gr 7 Pcs = Rp77.000</t>
  </si>
  <si>
    <t>Japota Happy Honey Butter 58gr 5 Pcs = Rp65.000</t>
  </si>
  <si>
    <t>Togo Peanut 128gr 10 Pcs = Rp100.000</t>
  </si>
  <si>
    <t>Kusuka Ayam Lada Hitam 180gr 9 Pcs = Rp162.000</t>
  </si>
  <si>
    <t>Maxicorn Roasted Corn 140gr 10 Pcs = Rp150.000</t>
  </si>
  <si>
    <t>Combociz Saltcheese 175gr 10 Pcs = Rp150.000</t>
  </si>
  <si>
    <t>Happytos Tortilla Chips 140gr 6 Pcs = Rp90.000</t>
  </si>
  <si>
    <t>Japota Happy Honey Butter 58gr 6 Pcs = Rp78.000</t>
  </si>
  <si>
    <t>Top Chocholate 24*9gr 2 Box = Rp60.000</t>
  </si>
  <si>
    <t>Combociz Saltcheese 175gr 8 Pcs = Rp120.000</t>
  </si>
  <si>
    <t>Happytos Tortilla Chips 140gr 11 Pcs = Rp165.000</t>
  </si>
  <si>
    <t>Maxicorn Roasted Corn 140gr 18 Pcs = Rp 270.000</t>
  </si>
  <si>
    <t>Togo Peanut 128gr 25 Pcs = Rp 250.000</t>
  </si>
  <si>
    <t>Japota Happy Honey Butter 58gr 19 Pcs = Rp 247.000</t>
  </si>
  <si>
    <t>Roma Kelapa Biscuit 300gr 24 Pcs = Rp 264.000</t>
  </si>
  <si>
    <t>Maxicorn Roasted Corn 140gr 13 Pcs = Rp 195.000</t>
  </si>
  <si>
    <t>Togo Peanut 128gr 15 Pcs = Rp 150.000</t>
  </si>
  <si>
    <t>Japota Happy Honey Butter 58gr 9 Pcs = Rp 117.000</t>
  </si>
  <si>
    <t>Togo Peanut 128gr 20 Pcs = Rp 200.000</t>
  </si>
  <si>
    <t>Pembelian Kebutuhan Taruna = RP 4.116.500</t>
  </si>
  <si>
    <t>Biaya Transportasi Pengangkutan = Rp200.000</t>
  </si>
  <si>
    <t>Japota Happy Honey Butter 58gr 10Pcs = Rp.130.000</t>
  </si>
  <si>
    <t>Oishii Caramel 100gr 15 Pcs = Rp 300.000</t>
  </si>
  <si>
    <t>Maxicorn Roasted Corn 140gr 9 Pcs = Rp 135.000</t>
  </si>
  <si>
    <t>Happytos Tortilla Chips 140gr 9 Pcs = Rp135.000</t>
  </si>
  <si>
    <t>Kusuka Ayam Lada Hitam 180gr 4 Pcs = Rp72.000</t>
  </si>
  <si>
    <t>Roma Kelapa Biscuit 300gr 15 Pcs = Rp 165.000</t>
  </si>
  <si>
    <t>Japota Happy Honey Butter 58gr 6Pcs = Rp78.000</t>
  </si>
  <si>
    <t>Happytos Tortilla Chips 140gr 5 Pcs = Rp75.000</t>
  </si>
  <si>
    <t>Japota Happy Honey Butter 58gr 10Pcs = Rp130.000</t>
  </si>
  <si>
    <t>Happytos Tortilla Chips 140gr 10 Pcs = Rp150.000</t>
  </si>
  <si>
    <t>Oishii Caramel 100gr 5 Pcs = Rp 100.000</t>
  </si>
  <si>
    <t>Japota Happy Honey Butter 58gr 1Pcs = Rp13.000</t>
  </si>
  <si>
    <t>Togo Peanut 128gr 20 Pcs = Rp200.000</t>
  </si>
  <si>
    <t>Nissin Walens Choco Soes 100gr 18 Pcs = Rp 216.000</t>
  </si>
  <si>
    <t>Roma Kelapa Biscuit 300gr 17 Pcs = Rp 187.000</t>
  </si>
  <si>
    <t>Togo Peanut 128gr 22 Pcs = Rp 220.000</t>
  </si>
  <si>
    <t>Maxicorn Roasted Corn 140gr 11 Pcs = Rp 165.000</t>
  </si>
  <si>
    <t>Kusuka Ayam Lada Hitam 180gr 6 Pcs = Rp 108.000</t>
  </si>
  <si>
    <t>Nissin Walens Choco Soes 100gr 13 Pcs = Rp 156.000</t>
  </si>
  <si>
    <t>Gaji Pegawai Rp1.500.000</t>
  </si>
  <si>
    <t>Togo Peanut 128gr 11 Pcs = Rp 110.000</t>
  </si>
  <si>
    <t>Kusuka Ayam Lada Hitam 180gr 10 Pcs = Rp180.000</t>
  </si>
  <si>
    <t>Oishii Caramel 100gr 10 Pcs = Rp 200.000</t>
  </si>
  <si>
    <t>Beng Beng Share it 16*10*8gr 10 Pcs = Rp160.000</t>
  </si>
  <si>
    <t>Japota Happy Honey Butter 58gr 4 Pcs = Rp.52.000</t>
  </si>
  <si>
    <t>Japota Happy Honey Butter 58gr 10 Pcs = Rp.130.000</t>
  </si>
  <si>
    <t>Happytos Tortilla Chips 140gr 17 Pcs = Rp 255.000</t>
  </si>
  <si>
    <t>Oishii Caramel 100gr 4 Pcs = Rp 80.000</t>
  </si>
  <si>
    <t>Togo Peanut 128gr 5 Pcs = Rp 50.000</t>
  </si>
  <si>
    <t>Nissin Walens Choco Soes 100gr 3 Pcs = Rp 36.000</t>
  </si>
  <si>
    <t>Japota Happy Honey Butter 58gr 9 Pcs = Rp.117.000</t>
  </si>
  <si>
    <t>Happytos Tortilla Chips 140gr 5 Pcs = Rp 75.000</t>
  </si>
  <si>
    <t>Combociz Saltcheese 175gr 15 Pcs = Rp 225.000</t>
  </si>
  <si>
    <t>Beng Beng Share it 16*10*8gr 5 Pcs = Rp80.000</t>
  </si>
  <si>
    <t>Oishii Caramel 100gr 3 Pcs = Rp 60.000</t>
  </si>
  <si>
    <t>Roma Kelapa Biscuit 300gr 12 Pcs = Rp 132.000</t>
  </si>
  <si>
    <t>Maxicorn Roasted Corn 140gr 8 Pcs = Rp 120.000</t>
  </si>
  <si>
    <t>Japota Happy Honey Butter 58gr 14 Pcs = Rp.182.000</t>
  </si>
  <si>
    <t>Maxicorn Roasted Corn 140gr 19 Pcs = Rp 285.000</t>
  </si>
  <si>
    <t>Combociz Saltcheese 175gr 12 Pcs = Rp 180.000</t>
  </si>
  <si>
    <t>Japota Happy Honey Butter 58gr 5 Pcs = Rp.65.000</t>
  </si>
  <si>
    <t>Pembelian Kebutuhan Taruna = RP 6.142.000</t>
  </si>
  <si>
    <t>Japota Happy Honey Butter 58gr 15 Pcs = Rp.195.000</t>
  </si>
  <si>
    <t>Nissin Walens Choco Soes 100gr 15 Pcs = Rp 180.000</t>
  </si>
  <si>
    <t>Maxicorn Roasted Corn 140gr 15 Pcs = Rp 225.000</t>
  </si>
  <si>
    <t>Keuntungan Bulan Desember</t>
  </si>
  <si>
    <t>Togo Chocolate 128gr 18 Pcs = Rp 180.000</t>
  </si>
  <si>
    <t>Nissin Walens Choco Soes 100gr 15 Pcs = RP 180.000</t>
  </si>
  <si>
    <t>Roma Kelapa Biscuit 300gr 26 Pcs = Rp 286.000</t>
  </si>
  <si>
    <t>Nissin Walens Choco Soes 100gr 19 Pcs = RP 228.000</t>
  </si>
  <si>
    <t>Togo Chocolate 128gr 30 Pcs = Rp 300.000</t>
  </si>
  <si>
    <t>Pembelian Kebutuhan Taruna = RP 5.197.000</t>
  </si>
  <si>
    <t>Japota Happy Honey Butter 58gr 33 Pcs = Rp 429.000</t>
  </si>
  <si>
    <t>Togo Chocolate 128gr 34 Pcs = Rp 340.000</t>
  </si>
  <si>
    <t>Beng Beng Share it 16*10*8gr 21 Pcs = Rp160.000</t>
  </si>
  <si>
    <t>Roma Kelapa Biscuit 300gr 23 Pcs = Rp 253.000</t>
  </si>
  <si>
    <t>Combociz Saltcheese 175gr 38 Pcs = Rp570.000</t>
  </si>
  <si>
    <t>Top Chocholate 24*9gr 6 Box = Rp180.000</t>
  </si>
  <si>
    <t>Modal Awal Bulan Desember Rp. 5.547.000</t>
  </si>
  <si>
    <t>MODAL AWAL</t>
  </si>
  <si>
    <t>NO</t>
  </si>
  <si>
    <t>BARANG</t>
  </si>
  <si>
    <t>PCS</t>
  </si>
  <si>
    <t>HARGA</t>
  </si>
  <si>
    <t>MAXICORN</t>
  </si>
  <si>
    <t>ROMA</t>
  </si>
  <si>
    <t>WALENS</t>
  </si>
  <si>
    <t>JAPOTA</t>
  </si>
  <si>
    <t>TOGO</t>
  </si>
  <si>
    <t>SISA BARANG BULAN NOVEMBER 2025</t>
  </si>
  <si>
    <t>Togo Chocolate 128gr 14 Pcs = Rp 140.000</t>
  </si>
  <si>
    <t>Combociz Saltcheese 175gr 15 Pcs = Rp225.000</t>
  </si>
  <si>
    <t>Top Chocholate 24*9gr 5 Box = Rp150.000</t>
  </si>
  <si>
    <t>Togo Black 128gr 4 Pcs = Rp 40.000</t>
  </si>
  <si>
    <t>BULAN DESEMBER 2025</t>
  </si>
  <si>
    <t>Japota Happy Honey Butter 58gr 13 Pcs = Rp 195.000</t>
  </si>
  <si>
    <t>Togo Black 128gr 15 Pcs = Rp 150.000</t>
  </si>
  <si>
    <t>Beng Beng Share it 16*10*8gr 13 Pcs = Rp208.000</t>
  </si>
  <si>
    <t>Beng Beng Share it 16*10*8gr 12 Pcs = Rp192.000</t>
  </si>
  <si>
    <t>Combociz Saltcheese 175gr 8 Pcs = Rp 120.000</t>
  </si>
  <si>
    <t>Nissin Walens Choco Soes 100gr 9 Pcs = RP 108.000</t>
  </si>
  <si>
    <t>Japota Happy Honey Butter 58gr 52 Pcs = Rp 676.000</t>
  </si>
  <si>
    <t>Beng Beng Share it 16*10*8gr 25 Pcs = Rp400.000</t>
  </si>
  <si>
    <t>Roma Kelapa Biscuit 300gr 43 Pcs = Rp 473.000</t>
  </si>
  <si>
    <t>Combociz Saltcheese 175gr 42 Pcs = Rp 630.000</t>
  </si>
  <si>
    <t>Top Chocholate 24*9gr 17 Box = Rp510.000</t>
  </si>
  <si>
    <t>Togo Black 128gr 45 Pcs = Rp 450.000</t>
  </si>
  <si>
    <t>Kusuka Ayam Lada Hitam 180gr 20 Pcs = Rp360.000</t>
  </si>
  <si>
    <t>Oishii Karamel 100gr 20 Pcs = Rp 400.000</t>
  </si>
  <si>
    <t>Pembelian Kebutuhan Taruna = RP 1.120.000</t>
  </si>
  <si>
    <t>Biaya Transportasi Pengangkutan dan Ongkir = Rp 50.000</t>
  </si>
  <si>
    <t>Pembelian Kebutuhan Taruna = RP 3.711.600</t>
  </si>
  <si>
    <t>Modal Awal Bulan Januari</t>
  </si>
  <si>
    <t>Keuntungan Bulan Januari</t>
  </si>
  <si>
    <t>BULAN JANUARI 2026</t>
  </si>
  <si>
    <t>SISA BARANG BULAN DESEMBER 2025</t>
  </si>
  <si>
    <t>Nissin Walens Choco Soes 100gr 4 Pcs = RP 48.000</t>
  </si>
  <si>
    <t>Togo Chocolate 128gr 1 Pcs = Rp 10.000</t>
  </si>
  <si>
    <t>Nissin Walens Choco Soes 100gr 7 Pcs = RP 84.000</t>
  </si>
  <si>
    <t>Nissin Walens Choco Soes 100gr 10 Pcs = RP 120.000</t>
  </si>
  <si>
    <t>Combociz Saltcheese 175gr 6 Pcs = Rp 90.000</t>
  </si>
  <si>
    <t>Beng Beng Share it 16*10*8gr 4 Pcs =  Rp 64.000</t>
  </si>
  <si>
    <t>Beng Beng Share it 16*10*8gr 3 Pcs =  Rp 48.000</t>
  </si>
  <si>
    <t>Oishii Karamel 100gr 4 Pcs = Rp 80.000</t>
  </si>
  <si>
    <t>Beng Beng Share it 16*10*8gr 6 Pcs =  Rp 96.000</t>
  </si>
  <si>
    <t>Pepsodent 75gr 2 Pcs = Rp 16.000</t>
  </si>
  <si>
    <t>Pembelian Kebutuhan Taruna = RP 2.852.800</t>
  </si>
  <si>
    <t>NAMA</t>
  </si>
  <si>
    <t>POPCORN</t>
  </si>
  <si>
    <t>BENGBENG</t>
  </si>
  <si>
    <t>RUGI PER BOX DAN PCS</t>
  </si>
  <si>
    <t>TOP</t>
  </si>
  <si>
    <t>HAPPYTOSS</t>
  </si>
  <si>
    <t>SALTCHEESE</t>
  </si>
  <si>
    <t>KUSUKA</t>
  </si>
  <si>
    <t>JMLH BOX</t>
  </si>
  <si>
    <t>RUGI TOTAL</t>
  </si>
  <si>
    <t>UNTUNG TOTAL</t>
  </si>
  <si>
    <t>TOTAL SEMUA</t>
  </si>
  <si>
    <t>SUDAH DIHITUNG /PCS</t>
  </si>
  <si>
    <t>KESIMPULAN</t>
  </si>
  <si>
    <t>UNTUNG / BOX</t>
  </si>
  <si>
    <t>RUGI / BOX</t>
  </si>
  <si>
    <t>TOTAL / BOX</t>
  </si>
  <si>
    <t>UNTUNG 5.500 + UANG KEMBALI 297.200</t>
  </si>
  <si>
    <t>Oishii Karamel 100gr 8 Pcs = Rp 160.000</t>
  </si>
  <si>
    <t>Kusuka Ayam Lada Hitam 180gr 10 Pcs = Rp 180.000</t>
  </si>
  <si>
    <t>Combociz Saltcheese 175gr 10 Pcs = Rp 170.000</t>
  </si>
  <si>
    <t>Oishii Karamel 100gr 6 Pcs = Rp 120.000</t>
  </si>
  <si>
    <t>Combociz Saltcheese 175gr 4 Pcs = Rp 68.000</t>
  </si>
  <si>
    <t>Happytos Tortilla Chips 140gr 10 Pcs = Rp 150.000</t>
  </si>
  <si>
    <t>Roma Kelapa Biscuit 300gr 15 Pcs = Rp 195.000</t>
  </si>
  <si>
    <t>Togo Black 128gr 20 Pcs = Rp 200.000</t>
  </si>
  <si>
    <t>Kusuka Ayam Lada Hitam 180gr 9 Pcs = Rp 162.000</t>
  </si>
  <si>
    <t>Combociz Saltcheese 175gr 12 Pcs = Rp 204.000</t>
  </si>
  <si>
    <t>Oishii Karamel 100gr 11 Pcs = Rp 220.000</t>
  </si>
  <si>
    <t>Nissin Walens Choco Soes 100gr 20 Pcs = RP 240.000</t>
  </si>
  <si>
    <t>Beng Beng Share it 16*10*8gr 9 Pcs = Rp 144.000</t>
  </si>
  <si>
    <t>Pembelian Kebutuhan Taruna = RP 3.703.000</t>
  </si>
  <si>
    <t>Keuntungan Bulan Februari</t>
  </si>
  <si>
    <t>uraian</t>
  </si>
  <si>
    <t>Nuvo 800mL  3 pcs = Rp 120.000</t>
  </si>
  <si>
    <t>Pepsodent 75gr 3 Pcs = R 24.000</t>
  </si>
  <si>
    <t>Oishii Karamel 100gr 9 Pcs = Rp 180.000</t>
  </si>
  <si>
    <t>Japota Happy Honey Butter 58gr 17 Pcs = Rp 221.000</t>
  </si>
  <si>
    <t>Nissin Walens Choco Soes 100gr 30 Pcs = RP 360.000</t>
  </si>
  <si>
    <t>Nuvo 800mL  2 pcs = Rp 80.000</t>
  </si>
  <si>
    <t>Pepsodent 75gr 2 Pcs = R 16.000</t>
  </si>
  <si>
    <t>Cololite 2 pcs = Rp 90.000</t>
  </si>
  <si>
    <t>Nissin Walens Choco Soes 100gr 3 Pcs = RP 36.000</t>
  </si>
  <si>
    <t>Combociz Saltcheese 175gr 1 Pcs = Rp 17.000</t>
  </si>
  <si>
    <t>Nissin Walens Choco Soes 100gr 21 Pcs = RP 252.000</t>
  </si>
  <si>
    <t>Combociz Saltcheese 175gr 11 Pcs = Rp 187.000</t>
  </si>
  <si>
    <t>Kusuka Ayam Lada Hitam 180gr 5 Pcs = Rp 90.000</t>
  </si>
  <si>
    <t>Happytos Tortilla Chips 140gr 11 Pcs = Rp 165.000</t>
  </si>
  <si>
    <t>BULAN FEBRUARI 2026</t>
  </si>
  <si>
    <t>Pembelian Kebutuhan Taruna = RP 2.016.000</t>
  </si>
  <si>
    <t>Pembelian Kebutuhan Taruna = RP 2.487.000</t>
  </si>
  <si>
    <t>Gaji Pegawai</t>
  </si>
  <si>
    <t>Top Chocholate 24*9gr 6 Box = Rp 120.000</t>
  </si>
  <si>
    <t>BULAN MARET 2026</t>
  </si>
  <si>
    <t>Modal Awal</t>
  </si>
  <si>
    <t>Maxicorn Roasted Corn 140gr 6 Pcs = Rp 90.000</t>
  </si>
  <si>
    <t>Kusuka Ayam Lada Hitam 180gr 4 Pcs = Rp 72.000</t>
  </si>
  <si>
    <t>Kusuka Ayam Lada Hitam 180gr 3 Pcs = Rp 54.000</t>
  </si>
  <si>
    <t>Nissin Walens Choco Soes 100gr 20 Pcs = RP 120.000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</si>
</sst>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p&quot;#,##0;[Red]\-&quot;Rp&quot;#,##0"/>
    <numFmt numFmtId="165" formatCode="_-&quot;Rp&quot;* #,##0.00_-;\-&quot;Rp&quot;* #,##0.00_-;_-&quot;Rp&quot;* &quot;-&quot;??_-;_-@_-"/>
    <numFmt numFmtId="166" formatCode="[$-13809]dd\ mmmm\ yyyy"/>
    <numFmt numFmtId="167" formatCode="_-&quot;Rp&quot;* #,##0.00_-;\-&quot;Rp&quot;* #,##0.00_-;_-&quot;Rp&quot;* &quot;-&quot;??_-;_-@"/>
    <numFmt numFmtId="168" formatCode="&quot;Rp&quot;#,##0"/>
  </numFmts>
  <fonts count="20">
    <font>
      <sz val="11"/>
      <name val="Calibri"/>
      <charset val="134"/>
      <scheme val="minor"/>
    </font>
    <font>
      <sz val="11"/>
      <color theme="1"/>
      <name val="Calibri"/>
      <family val="2"/>
      <scheme val="minor"/>
    </font>
    <font>
      <sz val="14"/>
      <name val="Calibri"/>
      <charset val="134"/>
    </font>
    <font>
      <b/>
      <sz val="14"/>
      <color rgb="FF000000"/>
      <name val="Arial Narrow"/>
      <charset val="134"/>
    </font>
    <font>
      <sz val="11"/>
      <name val="Calibri"/>
      <charset val="134"/>
    </font>
    <font>
      <b/>
      <sz val="14"/>
      <name val="Arial Narrow"/>
      <charset val="134"/>
    </font>
    <font>
      <b/>
      <sz val="14"/>
      <color rgb="FF0C0C0C"/>
      <name val="Arial Narrow"/>
      <charset val="134"/>
    </font>
    <font>
      <sz val="14"/>
      <name val="Arial Narrow"/>
      <charset val="134"/>
    </font>
    <font>
      <sz val="14"/>
      <color rgb="FF0C0C0C"/>
      <name val="Arial Narrow"/>
      <charset val="134"/>
    </font>
    <font>
      <b/>
      <sz val="12"/>
      <name val="Arial"/>
      <charset val="134"/>
    </font>
    <font>
      <sz val="14"/>
      <name val="Arial Narrow"/>
      <family val="2"/>
    </font>
    <font>
      <b/>
      <sz val="14"/>
      <name val="Arial Narrow"/>
      <family val="2"/>
    </font>
    <font>
      <sz val="8"/>
      <name val="Calibri"/>
      <charset val="134"/>
      <scheme val="minor"/>
    </font>
    <font>
      <b/>
      <sz val="12"/>
      <name val="Arial Narrow"/>
      <family val="2"/>
    </font>
    <font>
      <sz val="12"/>
      <name val="Arial Narrow"/>
      <family val="2"/>
    </font>
    <font>
      <b/>
      <sz val="12"/>
      <color rgb="FF000000"/>
      <name val="Arial Narrow"/>
      <family val="2"/>
    </font>
    <font>
      <b/>
      <sz val="12"/>
      <color rgb="FF0C0C0C"/>
      <name val="Arial Narrow"/>
      <family val="2"/>
    </font>
    <font>
      <sz val="12"/>
      <color rgb="FF0C0C0C"/>
      <name val="Arial Narrow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1">
    <xf numFmtId="0" fontId="0" fillId="0" borderId="0" xfId="0"/>
    <xf numFmtId="0" fontId="5" fillId="0" borderId="0" xfId="0" applyFont="1" applyAlignment="1">
      <alignment vertical="center"/>
    </xf>
    <xf numFmtId="16" fontId="6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167" fontId="5" fillId="0" borderId="0" xfId="0" applyNumberFormat="1" applyFont="1" applyAlignment="1">
      <alignment vertical="center"/>
    </xf>
    <xf numFmtId="167" fontId="5" fillId="0" borderId="0" xfId="0" applyNumberFormat="1" applyFont="1"/>
    <xf numFmtId="0" fontId="7" fillId="0" borderId="0" xfId="0" applyFont="1"/>
    <xf numFmtId="167" fontId="5" fillId="0" borderId="3" xfId="0" applyNumberFormat="1" applyFont="1" applyBorder="1" applyAlignment="1">
      <alignment vertical="center"/>
    </xf>
    <xf numFmtId="167" fontId="9" fillId="0" borderId="3" xfId="0" applyNumberFormat="1" applyFont="1" applyBorder="1"/>
    <xf numFmtId="0" fontId="0" fillId="0" borderId="3" xfId="0" applyBorder="1"/>
    <xf numFmtId="167" fontId="5" fillId="0" borderId="3" xfId="0" applyNumberFormat="1" applyFont="1" applyBorder="1"/>
    <xf numFmtId="0" fontId="11" fillId="0" borderId="3" xfId="0" applyFont="1" applyBorder="1" applyAlignment="1">
      <alignment vertical="center"/>
    </xf>
    <xf numFmtId="167" fontId="5" fillId="0" borderId="3" xfId="0" applyNumberFormat="1" applyFont="1" applyBorder="1" applyAlignment="1">
      <alignment horizontal="center" vertical="center"/>
    </xf>
    <xf numFmtId="16" fontId="10" fillId="0" borderId="3" xfId="0" applyNumberFormat="1" applyFont="1" applyBorder="1" applyAlignment="1">
      <alignment vertical="center"/>
    </xf>
    <xf numFmtId="167" fontId="5" fillId="0" borderId="2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16" fontId="11" fillId="0" borderId="8" xfId="0" applyNumberFormat="1" applyFont="1" applyBorder="1" applyAlignment="1">
      <alignment vertical="center"/>
    </xf>
    <xf numFmtId="16" fontId="10" fillId="0" borderId="12" xfId="0" applyNumberFormat="1" applyFont="1" applyBorder="1" applyAlignment="1">
      <alignment vertical="center"/>
    </xf>
    <xf numFmtId="167" fontId="11" fillId="0" borderId="7" xfId="0" applyNumberFormat="1" applyFont="1" applyBorder="1" applyAlignment="1">
      <alignment vertical="center"/>
    </xf>
    <xf numFmtId="167" fontId="11" fillId="0" borderId="2" xfId="0" applyNumberFormat="1" applyFont="1" applyBorder="1" applyAlignment="1">
      <alignment vertical="center"/>
    </xf>
    <xf numFmtId="167" fontId="11" fillId="0" borderId="3" xfId="0" applyNumberFormat="1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8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16" fontId="6" fillId="0" borderId="3" xfId="0" applyNumberFormat="1" applyFont="1" applyBorder="1" applyAlignment="1">
      <alignment vertical="center"/>
    </xf>
    <xf numFmtId="167" fontId="11" fillId="0" borderId="15" xfId="0" applyNumberFormat="1" applyFont="1" applyBorder="1" applyAlignment="1">
      <alignment vertical="center"/>
    </xf>
    <xf numFmtId="16" fontId="10" fillId="0" borderId="4" xfId="0" applyNumberFormat="1" applyFont="1" applyBorder="1" applyAlignment="1">
      <alignment vertical="center"/>
    </xf>
    <xf numFmtId="0" fontId="0" fillId="0" borderId="4" xfId="0" applyBorder="1"/>
    <xf numFmtId="165" fontId="0" fillId="0" borderId="0" xfId="0" applyNumberFormat="1"/>
    <xf numFmtId="167" fontId="5" fillId="0" borderId="16" xfId="0" applyNumberFormat="1" applyFont="1" applyBorder="1" applyAlignment="1">
      <alignment vertical="center"/>
    </xf>
    <xf numFmtId="167" fontId="13" fillId="0" borderId="16" xfId="0" applyNumberFormat="1" applyFont="1" applyBorder="1"/>
    <xf numFmtId="0" fontId="14" fillId="0" borderId="0" xfId="0" applyFont="1"/>
    <xf numFmtId="0" fontId="13" fillId="0" borderId="0" xfId="0" applyFont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166" fontId="13" fillId="0" borderId="3" xfId="0" applyNumberFormat="1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167" fontId="13" fillId="0" borderId="17" xfId="0" applyNumberFormat="1" applyFont="1" applyBorder="1" applyAlignment="1">
      <alignment horizontal="center" vertical="center"/>
    </xf>
    <xf numFmtId="167" fontId="13" fillId="0" borderId="3" xfId="0" applyNumberFormat="1" applyFont="1" applyBorder="1" applyAlignment="1">
      <alignment horizontal="center" vertical="center"/>
    </xf>
    <xf numFmtId="0" fontId="13" fillId="0" borderId="3" xfId="0" applyFont="1" applyBorder="1" applyAlignment="1">
      <alignment vertical="center"/>
    </xf>
    <xf numFmtId="16" fontId="14" fillId="0" borderId="3" xfId="0" applyNumberFormat="1" applyFont="1" applyBorder="1" applyAlignment="1">
      <alignment vertical="center"/>
    </xf>
    <xf numFmtId="167" fontId="13" fillId="0" borderId="16" xfId="0" applyNumberFormat="1" applyFont="1" applyBorder="1" applyAlignment="1">
      <alignment vertical="center"/>
    </xf>
    <xf numFmtId="167" fontId="13" fillId="0" borderId="3" xfId="0" applyNumberFormat="1" applyFont="1" applyBorder="1" applyAlignment="1">
      <alignment vertical="center"/>
    </xf>
    <xf numFmtId="0" fontId="14" fillId="0" borderId="16" xfId="0" applyFont="1" applyBorder="1"/>
    <xf numFmtId="167" fontId="13" fillId="0" borderId="3" xfId="0" applyNumberFormat="1" applyFont="1" applyBorder="1"/>
    <xf numFmtId="0" fontId="14" fillId="0" borderId="3" xfId="0" applyFont="1" applyBorder="1"/>
    <xf numFmtId="0" fontId="17" fillId="0" borderId="3" xfId="0" applyFont="1" applyBorder="1" applyAlignment="1">
      <alignment horizontal="center" vertical="center"/>
    </xf>
    <xf numFmtId="167" fontId="13" fillId="0" borderId="0" xfId="0" applyNumberFormat="1" applyFont="1"/>
    <xf numFmtId="16" fontId="16" fillId="0" borderId="0" xfId="0" applyNumberFormat="1" applyFont="1" applyAlignment="1">
      <alignment vertical="center"/>
    </xf>
    <xf numFmtId="0" fontId="17" fillId="0" borderId="0" xfId="0" applyFont="1" applyAlignment="1">
      <alignment vertical="center"/>
    </xf>
    <xf numFmtId="167" fontId="13" fillId="0" borderId="0" xfId="0" applyNumberFormat="1" applyFont="1" applyAlignment="1">
      <alignment vertical="center"/>
    </xf>
    <xf numFmtId="0" fontId="13" fillId="0" borderId="0" xfId="0" applyFont="1" applyAlignment="1">
      <alignment vertical="center"/>
    </xf>
    <xf numFmtId="16" fontId="13" fillId="0" borderId="3" xfId="0" applyNumberFormat="1" applyFont="1" applyBorder="1" applyAlignment="1">
      <alignment vertical="center"/>
    </xf>
    <xf numFmtId="16" fontId="14" fillId="0" borderId="3" xfId="0" applyNumberFormat="1" applyFont="1" applyBorder="1"/>
    <xf numFmtId="0" fontId="13" fillId="0" borderId="3" xfId="0" applyFont="1" applyBorder="1"/>
    <xf numFmtId="0" fontId="13" fillId="0" borderId="3" xfId="0" applyFont="1" applyBorder="1" applyAlignment="1">
      <alignment horizontal="left" vertical="center"/>
    </xf>
    <xf numFmtId="0" fontId="18" fillId="0" borderId="0" xfId="0" applyFont="1"/>
    <xf numFmtId="0" fontId="18" fillId="0" borderId="3" xfId="0" applyFont="1" applyBorder="1" applyAlignment="1">
      <alignment horizontal="left"/>
    </xf>
    <xf numFmtId="0" fontId="18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8" fillId="3" borderId="16" xfId="0" applyFont="1" applyFill="1" applyBorder="1"/>
    <xf numFmtId="168" fontId="0" fillId="0" borderId="3" xfId="0" applyNumberFormat="1" applyBorder="1" applyAlignment="1">
      <alignment horizontal="center"/>
    </xf>
    <xf numFmtId="168" fontId="0" fillId="4" borderId="3" xfId="0" applyNumberFormat="1" applyFill="1" applyBorder="1" applyAlignment="1">
      <alignment horizontal="center"/>
    </xf>
    <xf numFmtId="16" fontId="13" fillId="0" borderId="3" xfId="0" applyNumberFormat="1" applyFont="1" applyBorder="1" applyAlignment="1">
      <alignment horizontal="center" vertical="center"/>
    </xf>
    <xf numFmtId="0" fontId="14" fillId="0" borderId="5" xfId="0" applyFont="1" applyBorder="1"/>
    <xf numFmtId="164" fontId="0" fillId="0" borderId="3" xfId="0" applyNumberFormat="1" applyBorder="1" applyAlignment="1">
      <alignment horizontal="center"/>
    </xf>
    <xf numFmtId="164" fontId="1" fillId="4" borderId="3" xfId="0" applyNumberFormat="1" applyFont="1" applyFill="1" applyBorder="1" applyAlignment="1">
      <alignment horizontal="center"/>
    </xf>
    <xf numFmtId="0" fontId="18" fillId="3" borderId="3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0" fontId="19" fillId="0" borderId="3" xfId="0" applyFont="1" applyBorder="1" applyAlignment="1">
      <alignment horizontal="center"/>
    </xf>
    <xf numFmtId="3" fontId="18" fillId="0" borderId="3" xfId="0" applyNumberFormat="1" applyFont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8" fillId="4" borderId="3" xfId="0" applyFont="1" applyFill="1" applyBorder="1" applyAlignment="1">
      <alignment horizontal="center"/>
    </xf>
    <xf numFmtId="3" fontId="0" fillId="4" borderId="3" xfId="0" applyNumberFormat="1" applyFill="1" applyBorder="1" applyAlignment="1">
      <alignment horizontal="center"/>
    </xf>
    <xf numFmtId="0" fontId="18" fillId="5" borderId="3" xfId="0" applyFont="1" applyFill="1" applyBorder="1" applyAlignment="1">
      <alignment horizontal="center"/>
    </xf>
    <xf numFmtId="0" fontId="18" fillId="8" borderId="3" xfId="0" applyFont="1" applyFill="1" applyBorder="1" applyAlignment="1">
      <alignment horizontal="center"/>
    </xf>
    <xf numFmtId="0" fontId="14" fillId="0" borderId="3" xfId="0" applyFont="1" applyBorder="1" applyAlignment="1">
      <alignment horizontal="left" vertical="center"/>
    </xf>
    <xf numFmtId="0" fontId="13" fillId="0" borderId="4" xfId="0" applyFont="1" applyBorder="1" applyAlignment="1">
      <alignment horizontal="center" vertical="center"/>
    </xf>
    <xf numFmtId="16" fontId="16" fillId="0" borderId="4" xfId="0" applyNumberFormat="1" applyFont="1" applyBorder="1" applyAlignment="1">
      <alignment horizontal="center" vertical="center"/>
    </xf>
    <xf numFmtId="16" fontId="16" fillId="0" borderId="3" xfId="0" applyNumberFormat="1" applyFont="1" applyBorder="1" applyAlignment="1">
      <alignment horizontal="center" vertical="center"/>
    </xf>
    <xf numFmtId="0" fontId="14" fillId="0" borderId="6" xfId="0" applyFont="1" applyBorder="1"/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6" fontId="6" fillId="0" borderId="9" xfId="0" applyNumberFormat="1" applyFont="1" applyBorder="1" applyAlignment="1">
      <alignment horizontal="center" vertical="center"/>
    </xf>
    <xf numFmtId="16" fontId="6" fillId="0" borderId="10" xfId="0" applyNumberFormat="1" applyFont="1" applyBorder="1" applyAlignment="1">
      <alignment horizontal="center" vertical="center"/>
    </xf>
    <xf numFmtId="16" fontId="6" fillId="0" borderId="11" xfId="0" applyNumberFormat="1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16" fontId="6" fillId="0" borderId="4" xfId="0" applyNumberFormat="1" applyFont="1" applyBorder="1" applyAlignment="1">
      <alignment horizontal="center" vertical="center"/>
    </xf>
    <xf numFmtId="16" fontId="6" fillId="0" borderId="5" xfId="0" applyNumberFormat="1" applyFont="1" applyBorder="1" applyAlignment="1">
      <alignment horizontal="center" vertical="center"/>
    </xf>
    <xf numFmtId="16" fontId="6" fillId="0" borderId="6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4" fillId="0" borderId="1" xfId="0" applyFont="1" applyBorder="1"/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16" fontId="16" fillId="0" borderId="4" xfId="0" applyNumberFormat="1" applyFont="1" applyBorder="1" applyAlignment="1">
      <alignment horizontal="center" vertical="center"/>
    </xf>
    <xf numFmtId="16" fontId="16" fillId="0" borderId="5" xfId="0" applyNumberFormat="1" applyFont="1" applyBorder="1" applyAlignment="1">
      <alignment horizontal="center" vertical="center"/>
    </xf>
    <xf numFmtId="16" fontId="16" fillId="0" borderId="6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14" fillId="0" borderId="0" xfId="0" applyFont="1"/>
    <xf numFmtId="0" fontId="15" fillId="2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1" xfId="0" applyFont="1" applyBorder="1"/>
    <xf numFmtId="0" fontId="13" fillId="0" borderId="9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8" fillId="3" borderId="19" xfId="0" applyFont="1" applyFill="1" applyBorder="1" applyAlignment="1">
      <alignment horizontal="center"/>
    </xf>
    <xf numFmtId="0" fontId="18" fillId="3" borderId="18" xfId="0" applyFont="1" applyFill="1" applyBorder="1" applyAlignment="1">
      <alignment horizontal="center"/>
    </xf>
    <xf numFmtId="0" fontId="18" fillId="3" borderId="3" xfId="0" applyFont="1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13" fillId="0" borderId="3" xfId="0" applyFont="1" applyBorder="1" applyAlignment="1">
      <alignment horizontal="center" vertical="center"/>
    </xf>
    <xf numFmtId="16" fontId="16" fillId="0" borderId="3" xfId="0" applyNumberFormat="1" applyFont="1" applyBorder="1" applyAlignment="1">
      <alignment horizontal="center" vertical="center"/>
    </xf>
    <xf numFmtId="3" fontId="0" fillId="5" borderId="3" xfId="0" applyNumberFormat="1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3" fontId="0" fillId="6" borderId="3" xfId="0" applyNumberFormat="1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18" fillId="6" borderId="16" xfId="0" applyFont="1" applyFill="1" applyBorder="1" applyAlignment="1">
      <alignment horizontal="center"/>
    </xf>
    <xf numFmtId="0" fontId="18" fillId="6" borderId="18" xfId="0" applyFont="1" applyFill="1" applyBorder="1" applyAlignment="1">
      <alignment horizontal="center"/>
    </xf>
    <xf numFmtId="0" fontId="0" fillId="7" borderId="20" xfId="0" applyFill="1" applyBorder="1" applyAlignment="1">
      <alignment horizontal="center"/>
    </xf>
    <xf numFmtId="0" fontId="18" fillId="8" borderId="3" xfId="0" applyFont="1" applyFill="1" applyBorder="1" applyAlignment="1">
      <alignment horizontal="center"/>
    </xf>
    <xf numFmtId="16" fontId="13" fillId="0" borderId="4" xfId="0" applyNumberFormat="1" applyFont="1" applyBorder="1" applyAlignment="1">
      <alignment horizontal="center" vertical="center"/>
    </xf>
    <xf numFmtId="16" fontId="13" fillId="0" borderId="5" xfId="0" applyNumberFormat="1" applyFont="1" applyBorder="1" applyAlignment="1">
      <alignment horizontal="center" vertical="center"/>
    </xf>
    <xf numFmtId="16" fontId="13" fillId="0" borderId="6" xfId="0" applyNumberFormat="1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1</xdr:row>
      <xdr:rowOff>57150</xdr:rowOff>
    </xdr:from>
    <xdr:ext cx="4886325" cy="600075"/>
    <xdr:sp macro="" textlink="">
      <xdr:nvSpPr>
        <xdr:cNvPr id="2" name="Text Box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>
        <a:xfrm>
          <a:off x="57150" y="238125"/>
          <a:ext cx="4886325" cy="60007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rot="0" vert="horz" wrap="square" lIns="91440" tIns="45720" rIns="91440" bIns="45720" anchor="t" anchorCtr="0" upright="1">
          <a:spAutoFit/>
        </a:bodyPr>
        <a:lstStyle/>
        <a:p>
          <a:pPr lvl="0" algn="ctr">
            <a:lnSpc>
              <a:spcPct val="115000"/>
            </a:lnSpc>
            <a:spcAft>
              <a:spcPts val="0"/>
            </a:spcAft>
          </a:pPr>
          <a:r>
            <a:rPr lang="id-ID" sz="1400" b="1">
              <a:effectLst/>
              <a:latin typeface="Arial" panose="020B0604020202020204" pitchFamily="7" charset="0"/>
              <a:ea typeface="Calibri" panose="020F0502020204030204" pitchFamily="34" charset="0"/>
              <a:cs typeface="Times New Roman" panose="02020603050405020304" pitchFamily="18" charset="0"/>
            </a:rPr>
            <a:t>SEKOLAH TINGGI INTELIJEN NEGARA</a:t>
          </a:r>
          <a:endParaRPr lang="en-ID" sz="1200" b="1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lvl="0" algn="ctr">
            <a:lnSpc>
              <a:spcPct val="150000"/>
            </a:lnSpc>
            <a:spcAft>
              <a:spcPts val="0"/>
            </a:spcAft>
          </a:pPr>
          <a:r>
            <a:rPr lang="en-US" sz="1400" b="1">
              <a:effectLst/>
              <a:latin typeface="Arial" panose="020B0604020202020204" pitchFamily="7" charset="0"/>
              <a:ea typeface="Calibri" panose="020F0502020204030204" pitchFamily="34" charset="0"/>
              <a:cs typeface="Times New Roman" panose="02020603050405020304" pitchFamily="18" charset="0"/>
            </a:rPr>
            <a:t>RESIMEN KORPS TARUNA</a:t>
          </a:r>
          <a:endParaRPr lang="en-ID" sz="1200" b="1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 fLocksWithSheet="0"/>
  </xdr:oneCellAnchor>
  <xdr:oneCellAnchor>
    <xdr:from>
      <xdr:col>0</xdr:col>
      <xdr:colOff>57150</xdr:colOff>
      <xdr:row>4</xdr:row>
      <xdr:rowOff>95250</xdr:rowOff>
    </xdr:from>
    <xdr:ext cx="4724400" cy="0"/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>
          <a:cxnSpLocks noChangeShapeType="1"/>
        </xdr:cNvCxnSpPr>
      </xdr:nvCxnSpPr>
      <xdr:spPr>
        <a:xfrm flipV="1">
          <a:off x="57150" y="819150"/>
          <a:ext cx="4724400" cy="0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3</xdr:col>
      <xdr:colOff>1975307</xdr:colOff>
      <xdr:row>285</xdr:row>
      <xdr:rowOff>124751</xdr:rowOff>
    </xdr:from>
    <xdr:ext cx="2571750" cy="2137834"/>
    <xdr:sp macro="" textlink="">
      <xdr:nvSpPr>
        <xdr:cNvPr id="4" name="Shape 5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7577263" y="7861982"/>
          <a:ext cx="2571750" cy="213783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 pitchFamily="7" charset="0"/>
              <a:sym typeface="Arial" panose="020B0604020202020204"/>
            </a:rPr>
            <a:t>Bogor,  30 </a:t>
          </a:r>
          <a:r>
            <a:rPr lang="id-ID" sz="1400" b="1" i="0" u="none" strike="noStrike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 pitchFamily="7" charset="0"/>
              <a:sym typeface="Arial" panose="020B0604020202020204"/>
            </a:rPr>
            <a:t>September</a:t>
          </a:r>
          <a:r>
            <a:rPr lang="en-US" sz="1400" b="1" i="0" u="none" strike="noStrike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 pitchFamily="7" charset="0"/>
              <a:sym typeface="Arial" panose="020B0604020202020204"/>
            </a:rPr>
            <a:t> 2025</a:t>
          </a:r>
          <a:endParaRPr sz="1400" b="1">
            <a:latin typeface="Arial Narrow" panose="020B0606020202030204" pitchFamily="34" charset="0"/>
            <a:cs typeface="Arial" panose="020B0604020202020204" pitchFamily="7" charset="0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 pitchFamily="7" charset="0"/>
              <a:sym typeface="Arial" panose="020B0604020202020204"/>
            </a:rPr>
            <a:t>Kepala Tata Urusan Koperasi</a:t>
          </a:r>
          <a:endParaRPr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 pitchFamily="7" charset="0"/>
            <a:sym typeface="Arial" panose="020B060402020202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 pitchFamily="7" charset="0"/>
            <a:sym typeface="Arial" panose="020B060402020202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lang="id-ID"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 pitchFamily="7" charset="0"/>
            <a:sym typeface="Arial" panose="020B060402020202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lang="en-US"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 pitchFamily="7" charset="0"/>
            <a:sym typeface="Arial" panose="020B060402020202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lang="en-US"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 pitchFamily="7" charset="0"/>
            <a:sym typeface="Arial" panose="020B060402020202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 pitchFamily="7" charset="0"/>
              <a:sym typeface="Arial" panose="020B0604020202020204"/>
            </a:rPr>
            <a:t>Taruna Utama </a:t>
          </a:r>
          <a:r>
            <a:rPr lang="id-ID" sz="1400" b="1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 pitchFamily="7" charset="0"/>
              <a:sym typeface="Arial" panose="020B0604020202020204"/>
            </a:rPr>
            <a:t>Dzabir Herlambang</a:t>
          </a: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 pitchFamily="7" charset="0"/>
              <a:sym typeface="Arial" panose="020B0604020202020204"/>
            </a:rPr>
            <a:t>NIT</a:t>
          </a:r>
          <a:r>
            <a:rPr lang="id-ID" sz="1400" b="1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 pitchFamily="7" charset="0"/>
              <a:sym typeface="Arial" panose="020B0604020202020204"/>
            </a:rPr>
            <a:t>. 22191077 </a:t>
          </a:r>
        </a:p>
      </xdr:txBody>
    </xdr:sp>
    <xdr:clientData fLocksWithSheet="0"/>
  </xdr:oneCellAnchor>
  <xdr:oneCellAnchor>
    <xdr:from>
      <xdr:col>0</xdr:col>
      <xdr:colOff>0</xdr:colOff>
      <xdr:row>286</xdr:row>
      <xdr:rowOff>155289</xdr:rowOff>
    </xdr:from>
    <xdr:ext cx="2514600" cy="1859993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0" y="54304914"/>
          <a:ext cx="2514600" cy="185999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/>
              <a:sym typeface="Arial" panose="020B0604020202020204"/>
            </a:rPr>
            <a:t>Kepala Seksi Logistik</a:t>
          </a:r>
          <a:endParaRPr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/>
            <a:sym typeface="Arial" panose="020B060402020202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/>
            <a:sym typeface="Arial" panose="020B060402020202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/>
            <a:sym typeface="Arial" panose="020B060402020202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lang="en-US" sz="1400">
            <a:latin typeface="Arial Narrow" panose="020B0606020202030204" pitchFamily="34" charset="0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lang="en-ID" sz="1400">
            <a:latin typeface="Arial Narrow" panose="020B0606020202030204" pitchFamily="34" charset="0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/>
              <a:sym typeface="Arial" panose="020B0604020202020204"/>
            </a:rPr>
            <a:t>Taruna Utama</a:t>
          </a:r>
          <a:r>
            <a:rPr lang="id-ID" sz="1400" b="1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/>
              <a:sym typeface="Arial" panose="020B0604020202020204"/>
            </a:rPr>
            <a:t> Adrien Deksy</a:t>
          </a: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/>
              <a:sym typeface="Arial" panose="020B0604020202020204"/>
            </a:rPr>
            <a:t>NIT.</a:t>
          </a:r>
          <a:r>
            <a:rPr lang="id-ID" sz="1400" b="1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/>
              <a:sym typeface="Arial" panose="020B0604020202020204"/>
            </a:rPr>
            <a:t> 22191020</a:t>
          </a:r>
          <a:endParaRPr sz="14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2</xdr:col>
      <xdr:colOff>2276475</xdr:colOff>
      <xdr:row>299</xdr:row>
      <xdr:rowOff>14114</xdr:rowOff>
    </xdr:from>
    <xdr:ext cx="2914650" cy="19716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3715808" y="9433281"/>
          <a:ext cx="2914650" cy="19716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/>
              <a:sym typeface="Arial" panose="020B0604020202020204"/>
            </a:rPr>
            <a:t>Mengetahui,</a:t>
          </a:r>
          <a:r>
            <a:rPr lang="en-US" sz="1400" b="1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/>
              <a:sym typeface="Arial" panose="020B0604020202020204"/>
            </a:rPr>
            <a:t> </a:t>
          </a:r>
          <a:endParaRPr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/>
            <a:sym typeface="Arial" panose="020B060402020202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/>
              <a:sym typeface="Arial" panose="020B0604020202020204"/>
            </a:rPr>
            <a:t>Komandan Resimen Korps Taruna</a:t>
          </a:r>
          <a:endParaRPr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/>
            <a:sym typeface="Arial" panose="020B060402020202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/>
            <a:sym typeface="Arial" panose="020B060402020202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/>
            <a:sym typeface="Arial" panose="020B060402020202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>
            <a:latin typeface="Arial Narrow" panose="020B0606020202030204" pitchFamily="34" charset="0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lang="en-US" sz="1400">
            <a:latin typeface="Arial Narrow" panose="020B0606020202030204" pitchFamily="34" charset="0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>
            <a:latin typeface="Arial Narrow" panose="020B0606020202030204" pitchFamily="34" charset="0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/>
              <a:sym typeface="Arial" panose="020B0604020202020204"/>
            </a:rPr>
            <a:t>Taruna Utama </a:t>
          </a:r>
          <a:r>
            <a:rPr lang="id-ID" sz="1400" b="1" i="0" u="none" strike="noStrike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/>
              <a:sym typeface="Arial" panose="020B0604020202020204"/>
            </a:rPr>
            <a:t>Pavel Manurung</a:t>
          </a: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/>
              <a:sym typeface="Arial" panose="020B0604020202020204"/>
            </a:rPr>
            <a:t>NIT.</a:t>
          </a:r>
          <a:r>
            <a:rPr lang="id-ID" sz="1400" b="1" i="0" u="none" strike="noStrike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/>
              <a:sym typeface="Arial" panose="020B0604020202020204"/>
            </a:rPr>
            <a:t> 22191240</a:t>
          </a:r>
          <a:endParaRPr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/>
            <a:sym typeface="Arial" panose="020B0604020202020204"/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1</xdr:row>
      <xdr:rowOff>57150</xdr:rowOff>
    </xdr:from>
    <xdr:ext cx="4886325" cy="600075"/>
    <xdr:sp macro="" textlink="">
      <xdr:nvSpPr>
        <xdr:cNvPr id="2" name="Text Box 32">
          <a:extLst>
            <a:ext uri="{FF2B5EF4-FFF2-40B4-BE49-F238E27FC236}">
              <a16:creationId xmlns:a16="http://schemas.microsoft.com/office/drawing/2014/main" id="{76C3AC83-664B-4B01-8739-A66A1E3D6435}"/>
            </a:ext>
          </a:extLst>
        </xdr:cNvPr>
        <xdr:cNvSpPr txBox="1">
          <a:spLocks noChangeArrowheads="1"/>
        </xdr:cNvSpPr>
      </xdr:nvSpPr>
      <xdr:spPr>
        <a:xfrm>
          <a:off x="57150" y="234950"/>
          <a:ext cx="4886325" cy="60007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rot="0" vert="horz" wrap="square" lIns="91440" tIns="45720" rIns="91440" bIns="45720" anchor="t" anchorCtr="0" upright="1">
          <a:spAutoFit/>
        </a:bodyPr>
        <a:lstStyle/>
        <a:p>
          <a:pPr lvl="0" algn="ctr">
            <a:lnSpc>
              <a:spcPct val="115000"/>
            </a:lnSpc>
            <a:spcAft>
              <a:spcPts val="0"/>
            </a:spcAft>
          </a:pPr>
          <a:r>
            <a:rPr lang="id-ID" sz="1400" b="1">
              <a:effectLst/>
              <a:latin typeface="Arial" panose="020B0604020202020204" pitchFamily="7" charset="0"/>
              <a:ea typeface="Calibri" panose="020F0502020204030204" pitchFamily="34" charset="0"/>
              <a:cs typeface="Times New Roman" panose="02020603050405020304" pitchFamily="18" charset="0"/>
            </a:rPr>
            <a:t>SEKOLAH TINGGI INTELIJEN NEGARA</a:t>
          </a:r>
          <a:endParaRPr lang="en-ID" sz="1200" b="1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lvl="0" algn="ctr">
            <a:lnSpc>
              <a:spcPct val="150000"/>
            </a:lnSpc>
            <a:spcAft>
              <a:spcPts val="0"/>
            </a:spcAft>
          </a:pPr>
          <a:r>
            <a:rPr lang="en-US" sz="1400" b="1">
              <a:effectLst/>
              <a:latin typeface="Arial" panose="020B0604020202020204" pitchFamily="7" charset="0"/>
              <a:ea typeface="Calibri" panose="020F0502020204030204" pitchFamily="34" charset="0"/>
              <a:cs typeface="Times New Roman" panose="02020603050405020304" pitchFamily="18" charset="0"/>
            </a:rPr>
            <a:t>RESIMEN KORPS TARUNA</a:t>
          </a:r>
          <a:endParaRPr lang="en-ID" sz="1200" b="1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 fLocksWithSheet="0"/>
  </xdr:oneCellAnchor>
  <xdr:oneCellAnchor>
    <xdr:from>
      <xdr:col>0</xdr:col>
      <xdr:colOff>57150</xdr:colOff>
      <xdr:row>4</xdr:row>
      <xdr:rowOff>95250</xdr:rowOff>
    </xdr:from>
    <xdr:ext cx="4724400" cy="0"/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B211D8AA-8014-44F6-9E47-9DB047295506}"/>
            </a:ext>
          </a:extLst>
        </xdr:cNvPr>
        <xdr:cNvCxnSpPr>
          <a:cxnSpLocks noChangeShapeType="1"/>
        </xdr:cNvCxnSpPr>
      </xdr:nvCxnSpPr>
      <xdr:spPr>
        <a:xfrm flipV="1">
          <a:off x="57150" y="806450"/>
          <a:ext cx="4724400" cy="0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3</xdr:col>
      <xdr:colOff>1975307</xdr:colOff>
      <xdr:row>277</xdr:row>
      <xdr:rowOff>124751</xdr:rowOff>
    </xdr:from>
    <xdr:ext cx="2571750" cy="2137834"/>
    <xdr:sp macro="" textlink="">
      <xdr:nvSpPr>
        <xdr:cNvPr id="4" name="Shape 5">
          <a:extLst>
            <a:ext uri="{FF2B5EF4-FFF2-40B4-BE49-F238E27FC236}">
              <a16:creationId xmlns:a16="http://schemas.microsoft.com/office/drawing/2014/main" id="{DF1973E9-4FFA-42FB-A8EB-669F6BC147BD}"/>
            </a:ext>
          </a:extLst>
        </xdr:cNvPr>
        <xdr:cNvSpPr txBox="1"/>
      </xdr:nvSpPr>
      <xdr:spPr>
        <a:xfrm>
          <a:off x="7690307" y="54150551"/>
          <a:ext cx="2571750" cy="213783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 pitchFamily="7" charset="0"/>
              <a:sym typeface="Arial" panose="020B0604020202020204"/>
            </a:rPr>
            <a:t>Bogor,  31 Oktober 2025</a:t>
          </a:r>
          <a:endParaRPr sz="1400" b="1">
            <a:latin typeface="Arial Narrow" panose="020B0606020202030204" pitchFamily="34" charset="0"/>
            <a:cs typeface="Arial" panose="020B0604020202020204" pitchFamily="7" charset="0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 pitchFamily="7" charset="0"/>
              <a:sym typeface="Arial" panose="020B0604020202020204"/>
            </a:rPr>
            <a:t>Kepala Tata Urusan Koperasi</a:t>
          </a:r>
          <a:endParaRPr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 pitchFamily="7" charset="0"/>
            <a:sym typeface="Arial" panose="020B060402020202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 pitchFamily="7" charset="0"/>
            <a:sym typeface="Arial" panose="020B060402020202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lang="id-ID"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 pitchFamily="7" charset="0"/>
            <a:sym typeface="Arial" panose="020B060402020202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lang="en-US"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 pitchFamily="7" charset="0"/>
            <a:sym typeface="Arial" panose="020B060402020202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lang="en-US"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 pitchFamily="7" charset="0"/>
            <a:sym typeface="Arial" panose="020B060402020202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 pitchFamily="7" charset="0"/>
              <a:sym typeface="Arial" panose="020B0604020202020204"/>
            </a:rPr>
            <a:t>Taruna Utama </a:t>
          </a:r>
          <a:r>
            <a:rPr lang="id-ID" sz="1400" b="1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 pitchFamily="7" charset="0"/>
              <a:sym typeface="Arial" panose="020B0604020202020204"/>
            </a:rPr>
            <a:t>Dzabir Herlambang</a:t>
          </a: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 pitchFamily="7" charset="0"/>
              <a:sym typeface="Arial" panose="020B0604020202020204"/>
            </a:rPr>
            <a:t>NIT</a:t>
          </a:r>
          <a:r>
            <a:rPr lang="id-ID" sz="1400" b="1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 pitchFamily="7" charset="0"/>
              <a:sym typeface="Arial" panose="020B0604020202020204"/>
            </a:rPr>
            <a:t>. 22191077 </a:t>
          </a:r>
        </a:p>
      </xdr:txBody>
    </xdr:sp>
    <xdr:clientData fLocksWithSheet="0"/>
  </xdr:oneCellAnchor>
  <xdr:oneCellAnchor>
    <xdr:from>
      <xdr:col>0</xdr:col>
      <xdr:colOff>0</xdr:colOff>
      <xdr:row>278</xdr:row>
      <xdr:rowOff>155289</xdr:rowOff>
    </xdr:from>
    <xdr:ext cx="2514600" cy="1859993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CB6DDD4B-EEDF-457B-8E4C-5E3B578B61F9}"/>
            </a:ext>
          </a:extLst>
        </xdr:cNvPr>
        <xdr:cNvSpPr txBox="1"/>
      </xdr:nvSpPr>
      <xdr:spPr>
        <a:xfrm>
          <a:off x="0" y="54371589"/>
          <a:ext cx="2514600" cy="185999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/>
              <a:sym typeface="Arial" panose="020B0604020202020204"/>
            </a:rPr>
            <a:t>Kepala Seksi Logistik</a:t>
          </a:r>
          <a:endParaRPr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/>
            <a:sym typeface="Arial" panose="020B060402020202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/>
            <a:sym typeface="Arial" panose="020B060402020202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/>
            <a:sym typeface="Arial" panose="020B060402020202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lang="en-US" sz="1400">
            <a:latin typeface="Arial Narrow" panose="020B0606020202030204" pitchFamily="34" charset="0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lang="en-ID" sz="1400">
            <a:latin typeface="Arial Narrow" panose="020B0606020202030204" pitchFamily="34" charset="0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/>
              <a:sym typeface="Arial" panose="020B0604020202020204"/>
            </a:rPr>
            <a:t>Taruna Utama</a:t>
          </a:r>
          <a:r>
            <a:rPr lang="id-ID" sz="1400" b="1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/>
              <a:sym typeface="Arial" panose="020B0604020202020204"/>
            </a:rPr>
            <a:t> Adrien Deksy</a:t>
          </a: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/>
              <a:sym typeface="Arial" panose="020B0604020202020204"/>
            </a:rPr>
            <a:t>NIT.</a:t>
          </a:r>
          <a:r>
            <a:rPr lang="id-ID" sz="1400" b="1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/>
              <a:sym typeface="Arial" panose="020B0604020202020204"/>
            </a:rPr>
            <a:t> 22191020</a:t>
          </a:r>
          <a:endParaRPr sz="14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2</xdr:col>
      <xdr:colOff>2276475</xdr:colOff>
      <xdr:row>291</xdr:row>
      <xdr:rowOff>14114</xdr:rowOff>
    </xdr:from>
    <xdr:ext cx="2914650" cy="19716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CA102E54-104F-493D-82F2-C32B63C965DB}"/>
            </a:ext>
          </a:extLst>
        </xdr:cNvPr>
        <xdr:cNvSpPr txBox="1"/>
      </xdr:nvSpPr>
      <xdr:spPr>
        <a:xfrm>
          <a:off x="3717925" y="56706914"/>
          <a:ext cx="2914650" cy="19716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/>
              <a:sym typeface="Arial" panose="020B0604020202020204"/>
            </a:rPr>
            <a:t>Mengetahui,</a:t>
          </a:r>
          <a:r>
            <a:rPr lang="en-US" sz="1400" b="1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/>
              <a:sym typeface="Arial" panose="020B0604020202020204"/>
            </a:rPr>
            <a:t> </a:t>
          </a:r>
          <a:endParaRPr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/>
            <a:sym typeface="Arial" panose="020B060402020202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/>
              <a:sym typeface="Arial" panose="020B0604020202020204"/>
            </a:rPr>
            <a:t>Komandan Resimen Korps Taruna</a:t>
          </a:r>
          <a:endParaRPr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/>
            <a:sym typeface="Arial" panose="020B060402020202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/>
            <a:sym typeface="Arial" panose="020B060402020202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/>
            <a:sym typeface="Arial" panose="020B060402020202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>
            <a:latin typeface="Arial Narrow" panose="020B0606020202030204" pitchFamily="34" charset="0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lang="en-US" sz="1400">
            <a:latin typeface="Arial Narrow" panose="020B0606020202030204" pitchFamily="34" charset="0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>
            <a:latin typeface="Arial Narrow" panose="020B0606020202030204" pitchFamily="34" charset="0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/>
              <a:sym typeface="Arial" panose="020B0604020202020204"/>
            </a:rPr>
            <a:t>Taruna Utama </a:t>
          </a:r>
          <a:r>
            <a:rPr lang="id-ID" sz="1400" b="1" i="0" u="none" strike="noStrike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/>
              <a:sym typeface="Arial" panose="020B0604020202020204"/>
            </a:rPr>
            <a:t>Pavel Manurung</a:t>
          </a: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/>
              <a:sym typeface="Arial" panose="020B0604020202020204"/>
            </a:rPr>
            <a:t>NIT.</a:t>
          </a:r>
          <a:r>
            <a:rPr lang="id-ID" sz="1400" b="1" i="0" u="none" strike="noStrike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/>
              <a:sym typeface="Arial" panose="020B0604020202020204"/>
            </a:rPr>
            <a:t> 22191240</a:t>
          </a:r>
          <a:endParaRPr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/>
            <a:sym typeface="Arial" panose="020B0604020202020204"/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1</xdr:row>
      <xdr:rowOff>57150</xdr:rowOff>
    </xdr:from>
    <xdr:ext cx="4886325" cy="600075"/>
    <xdr:sp macro="" textlink="">
      <xdr:nvSpPr>
        <xdr:cNvPr id="4" name="Text Box 32">
          <a:extLst>
            <a:ext uri="{FF2B5EF4-FFF2-40B4-BE49-F238E27FC236}">
              <a16:creationId xmlns:a16="http://schemas.microsoft.com/office/drawing/2014/main" id="{A686C6A5-2C72-4615-B487-C4F1A1B93321}"/>
            </a:ext>
          </a:extLst>
        </xdr:cNvPr>
        <xdr:cNvSpPr txBox="1">
          <a:spLocks noChangeArrowheads="1"/>
        </xdr:cNvSpPr>
      </xdr:nvSpPr>
      <xdr:spPr>
        <a:xfrm>
          <a:off x="57150" y="232410"/>
          <a:ext cx="4886325" cy="60007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rot="0" vert="horz" wrap="square" lIns="91440" tIns="45720" rIns="91440" bIns="45720" anchor="t" anchorCtr="0" upright="1">
          <a:spAutoFit/>
        </a:bodyPr>
        <a:lstStyle/>
        <a:p>
          <a:pPr lvl="0" algn="ctr">
            <a:lnSpc>
              <a:spcPct val="115000"/>
            </a:lnSpc>
            <a:spcAft>
              <a:spcPts val="0"/>
            </a:spcAft>
          </a:pPr>
          <a:r>
            <a:rPr lang="id-ID" sz="1400" b="1">
              <a:effectLst/>
              <a:latin typeface="Arial" panose="020B0604020202020204" pitchFamily="7" charset="0"/>
              <a:ea typeface="Calibri" panose="020F0502020204030204" pitchFamily="34" charset="0"/>
              <a:cs typeface="Times New Roman" panose="02020603050405020304" pitchFamily="18" charset="0"/>
            </a:rPr>
            <a:t>SEKOLAH TINGGI INTELIJEN NEGARA</a:t>
          </a:r>
          <a:endParaRPr lang="en-ID" sz="1200" b="1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lvl="0" algn="ctr">
            <a:lnSpc>
              <a:spcPct val="150000"/>
            </a:lnSpc>
            <a:spcAft>
              <a:spcPts val="0"/>
            </a:spcAft>
          </a:pPr>
          <a:r>
            <a:rPr lang="en-US" sz="1400" b="1">
              <a:effectLst/>
              <a:latin typeface="Arial" panose="020B0604020202020204" pitchFamily="7" charset="0"/>
              <a:ea typeface="Calibri" panose="020F0502020204030204" pitchFamily="34" charset="0"/>
              <a:cs typeface="Times New Roman" panose="02020603050405020304" pitchFamily="18" charset="0"/>
            </a:rPr>
            <a:t>RESIMEN KORPS TARUNA</a:t>
          </a:r>
          <a:endParaRPr lang="en-ID" sz="1200" b="1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 fLocksWithSheet="0"/>
  </xdr:oneCellAnchor>
  <xdr:oneCellAnchor>
    <xdr:from>
      <xdr:col>0</xdr:col>
      <xdr:colOff>57150</xdr:colOff>
      <xdr:row>4</xdr:row>
      <xdr:rowOff>95250</xdr:rowOff>
    </xdr:from>
    <xdr:ext cx="4724400" cy="0"/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B2A526F6-04A1-40CF-AB80-2B983853DCB0}"/>
            </a:ext>
          </a:extLst>
        </xdr:cNvPr>
        <xdr:cNvCxnSpPr>
          <a:cxnSpLocks noChangeShapeType="1"/>
        </xdr:cNvCxnSpPr>
      </xdr:nvCxnSpPr>
      <xdr:spPr>
        <a:xfrm flipV="1">
          <a:off x="57150" y="796290"/>
          <a:ext cx="4724400" cy="0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3</xdr:col>
      <xdr:colOff>810328</xdr:colOff>
      <xdr:row>222</xdr:row>
      <xdr:rowOff>38128</xdr:rowOff>
    </xdr:from>
    <xdr:ext cx="2571750" cy="2137834"/>
    <xdr:sp macro="" textlink="">
      <xdr:nvSpPr>
        <xdr:cNvPr id="9" name="Shape 5">
          <a:extLst>
            <a:ext uri="{FF2B5EF4-FFF2-40B4-BE49-F238E27FC236}">
              <a16:creationId xmlns:a16="http://schemas.microsoft.com/office/drawing/2014/main" id="{3754673A-BFB2-4EAB-B14E-B055776DA855}"/>
            </a:ext>
          </a:extLst>
        </xdr:cNvPr>
        <xdr:cNvSpPr txBox="1"/>
      </xdr:nvSpPr>
      <xdr:spPr>
        <a:xfrm>
          <a:off x="5989547" y="23922066"/>
          <a:ext cx="2571750" cy="213783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 pitchFamily="7" charset="0"/>
              <a:sym typeface="Arial" panose="020B0604020202020204"/>
            </a:rPr>
            <a:t>Bogor,  30 November 2025</a:t>
          </a:r>
          <a:endParaRPr sz="1400" b="1">
            <a:latin typeface="Arial Narrow" panose="020B0606020202030204" pitchFamily="34" charset="0"/>
            <a:cs typeface="Arial" panose="020B0604020202020204" pitchFamily="7" charset="0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 pitchFamily="7" charset="0"/>
              <a:sym typeface="Arial" panose="020B0604020202020204"/>
            </a:rPr>
            <a:t>Kepala Tata Urusan Koperasi</a:t>
          </a:r>
          <a:endParaRPr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 pitchFamily="7" charset="0"/>
            <a:sym typeface="Arial" panose="020B060402020202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 pitchFamily="7" charset="0"/>
            <a:sym typeface="Arial" panose="020B060402020202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lang="id-ID"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 pitchFamily="7" charset="0"/>
            <a:sym typeface="Arial" panose="020B060402020202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lang="en-US"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 pitchFamily="7" charset="0"/>
            <a:sym typeface="Arial" panose="020B060402020202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lang="en-US"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 pitchFamily="7" charset="0"/>
            <a:sym typeface="Arial" panose="020B060402020202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 pitchFamily="7" charset="0"/>
              <a:sym typeface="Arial" panose="020B0604020202020204"/>
            </a:rPr>
            <a:t>Taruna Utama </a:t>
          </a:r>
          <a:r>
            <a:rPr lang="id-ID" sz="1400" b="1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 pitchFamily="7" charset="0"/>
              <a:sym typeface="Arial" panose="020B0604020202020204"/>
            </a:rPr>
            <a:t>Dzabir Herlambang</a:t>
          </a: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 pitchFamily="7" charset="0"/>
              <a:sym typeface="Arial" panose="020B0604020202020204"/>
            </a:rPr>
            <a:t>NIT</a:t>
          </a:r>
          <a:r>
            <a:rPr lang="id-ID" sz="1400" b="1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 pitchFamily="7" charset="0"/>
              <a:sym typeface="Arial" panose="020B0604020202020204"/>
            </a:rPr>
            <a:t>. 22191077 </a:t>
          </a:r>
        </a:p>
      </xdr:txBody>
    </xdr:sp>
    <xdr:clientData fLocksWithSheet="0"/>
  </xdr:oneCellAnchor>
  <xdr:oneCellAnchor>
    <xdr:from>
      <xdr:col>0</xdr:col>
      <xdr:colOff>0</xdr:colOff>
      <xdr:row>223</xdr:row>
      <xdr:rowOff>80473</xdr:rowOff>
    </xdr:from>
    <xdr:ext cx="2514600" cy="1859993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29B3D76A-E7CA-41FF-9DF0-AEC1DC18E3C5}"/>
            </a:ext>
          </a:extLst>
        </xdr:cNvPr>
        <xdr:cNvSpPr txBox="1"/>
      </xdr:nvSpPr>
      <xdr:spPr>
        <a:xfrm>
          <a:off x="0" y="5613256"/>
          <a:ext cx="2514600" cy="185999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/>
              <a:sym typeface="Arial" panose="020B0604020202020204"/>
            </a:rPr>
            <a:t>Kepala Seksi Logistik</a:t>
          </a:r>
          <a:endParaRPr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/>
            <a:sym typeface="Arial" panose="020B060402020202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/>
            <a:sym typeface="Arial" panose="020B060402020202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/>
            <a:sym typeface="Arial" panose="020B060402020202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lang="en-US" sz="1400">
            <a:latin typeface="Arial Narrow" panose="020B0606020202030204" pitchFamily="34" charset="0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lang="en-ID" sz="1400">
            <a:latin typeface="Arial Narrow" panose="020B0606020202030204" pitchFamily="34" charset="0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/>
              <a:sym typeface="Arial" panose="020B0604020202020204"/>
            </a:rPr>
            <a:t>Taruna Utama</a:t>
          </a:r>
          <a:r>
            <a:rPr lang="id-ID" sz="1400" b="1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/>
              <a:sym typeface="Arial" panose="020B0604020202020204"/>
            </a:rPr>
            <a:t> Adrien Deksy</a:t>
          </a: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/>
              <a:sym typeface="Arial" panose="020B0604020202020204"/>
            </a:rPr>
            <a:t>NIT.</a:t>
          </a:r>
          <a:r>
            <a:rPr lang="id-ID" sz="1400" b="1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/>
              <a:sym typeface="Arial" panose="020B0604020202020204"/>
            </a:rPr>
            <a:t> 22191020</a:t>
          </a:r>
          <a:endParaRPr sz="14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2</xdr:col>
      <xdr:colOff>1751394</xdr:colOff>
      <xdr:row>233</xdr:row>
      <xdr:rowOff>146635</xdr:rowOff>
    </xdr:from>
    <xdr:ext cx="2914650" cy="1971675"/>
    <xdr:sp macro="" textlink="">
      <xdr:nvSpPr>
        <xdr:cNvPr id="11" name="Shape 6">
          <a:extLst>
            <a:ext uri="{FF2B5EF4-FFF2-40B4-BE49-F238E27FC236}">
              <a16:creationId xmlns:a16="http://schemas.microsoft.com/office/drawing/2014/main" id="{A45F7571-D655-478A-8AF7-017ED3F1F085}"/>
            </a:ext>
          </a:extLst>
        </xdr:cNvPr>
        <xdr:cNvSpPr txBox="1"/>
      </xdr:nvSpPr>
      <xdr:spPr>
        <a:xfrm>
          <a:off x="2894394" y="26257041"/>
          <a:ext cx="2914650" cy="19716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/>
              <a:sym typeface="Arial" panose="020B0604020202020204"/>
            </a:rPr>
            <a:t>Mengetahui,</a:t>
          </a:r>
          <a:r>
            <a:rPr lang="en-US" sz="1400" b="1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/>
              <a:sym typeface="Arial" panose="020B0604020202020204"/>
            </a:rPr>
            <a:t> </a:t>
          </a:r>
          <a:endParaRPr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/>
            <a:sym typeface="Arial" panose="020B060402020202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/>
              <a:sym typeface="Arial" panose="020B0604020202020204"/>
            </a:rPr>
            <a:t>Komandan Resimen Korps Taruna</a:t>
          </a:r>
          <a:endParaRPr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/>
            <a:sym typeface="Arial" panose="020B060402020202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/>
            <a:sym typeface="Arial" panose="020B060402020202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/>
            <a:sym typeface="Arial" panose="020B060402020202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>
            <a:latin typeface="Arial Narrow" panose="020B0606020202030204" pitchFamily="34" charset="0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lang="en-US" sz="1400">
            <a:latin typeface="Arial Narrow" panose="020B0606020202030204" pitchFamily="34" charset="0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>
            <a:latin typeface="Arial Narrow" panose="020B0606020202030204" pitchFamily="34" charset="0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/>
              <a:sym typeface="Arial" panose="020B0604020202020204"/>
            </a:rPr>
            <a:t>Taruna Utama </a:t>
          </a:r>
          <a:r>
            <a:rPr lang="id-ID" sz="1400" b="1" i="0" u="none" strike="noStrike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/>
              <a:sym typeface="Arial" panose="020B0604020202020204"/>
            </a:rPr>
            <a:t>Pavel Manurung</a:t>
          </a: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/>
              <a:sym typeface="Arial" panose="020B0604020202020204"/>
            </a:rPr>
            <a:t>NIT.</a:t>
          </a:r>
          <a:r>
            <a:rPr lang="id-ID" sz="1400" b="1" i="0" u="none" strike="noStrike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/>
              <a:sym typeface="Arial" panose="020B0604020202020204"/>
            </a:rPr>
            <a:t> 22191240</a:t>
          </a:r>
          <a:endParaRPr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/>
            <a:sym typeface="Arial" panose="020B0604020202020204"/>
          </a:endParaRPr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1</xdr:row>
      <xdr:rowOff>57150</xdr:rowOff>
    </xdr:from>
    <xdr:ext cx="4886325" cy="600075"/>
    <xdr:sp macro="" textlink="">
      <xdr:nvSpPr>
        <xdr:cNvPr id="4" name="Text Box 32">
          <a:extLst>
            <a:ext uri="{FF2B5EF4-FFF2-40B4-BE49-F238E27FC236}">
              <a16:creationId xmlns:a16="http://schemas.microsoft.com/office/drawing/2014/main" id="{D1E02045-B94A-4188-B1BF-68DB093DC5CE}"/>
            </a:ext>
          </a:extLst>
        </xdr:cNvPr>
        <xdr:cNvSpPr txBox="1">
          <a:spLocks noChangeArrowheads="1"/>
        </xdr:cNvSpPr>
      </xdr:nvSpPr>
      <xdr:spPr>
        <a:xfrm>
          <a:off x="57150" y="255270"/>
          <a:ext cx="4886325" cy="60007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rot="0" vert="horz" wrap="square" lIns="91440" tIns="45720" rIns="91440" bIns="45720" anchor="t" anchorCtr="0" upright="1">
          <a:spAutoFit/>
        </a:bodyPr>
        <a:lstStyle/>
        <a:p>
          <a:pPr lvl="0" algn="ctr">
            <a:lnSpc>
              <a:spcPct val="115000"/>
            </a:lnSpc>
            <a:spcAft>
              <a:spcPts val="0"/>
            </a:spcAft>
          </a:pPr>
          <a:r>
            <a:rPr lang="id-ID" sz="1400" b="1">
              <a:effectLst/>
              <a:latin typeface="Arial" panose="020B0604020202020204" pitchFamily="7" charset="0"/>
              <a:ea typeface="Calibri" panose="020F0502020204030204" pitchFamily="34" charset="0"/>
              <a:cs typeface="Times New Roman" panose="02020603050405020304" pitchFamily="18" charset="0"/>
            </a:rPr>
            <a:t>SEKOLAH TINGGI INTELIJEN NEGARA</a:t>
          </a:r>
          <a:endParaRPr lang="en-ID" sz="1200" b="1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lvl="0" algn="ctr">
            <a:lnSpc>
              <a:spcPct val="150000"/>
            </a:lnSpc>
            <a:spcAft>
              <a:spcPts val="0"/>
            </a:spcAft>
          </a:pPr>
          <a:r>
            <a:rPr lang="en-US" sz="1400" b="1">
              <a:effectLst/>
              <a:latin typeface="Arial" panose="020B0604020202020204" pitchFamily="7" charset="0"/>
              <a:ea typeface="Calibri" panose="020F0502020204030204" pitchFamily="34" charset="0"/>
              <a:cs typeface="Times New Roman" panose="02020603050405020304" pitchFamily="18" charset="0"/>
            </a:rPr>
            <a:t>RESIMEN KORPS TARUNA</a:t>
          </a:r>
          <a:endParaRPr lang="en-ID" sz="1200" b="1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 fLocksWithSheet="0"/>
  </xdr:oneCellAnchor>
  <xdr:oneCellAnchor>
    <xdr:from>
      <xdr:col>0</xdr:col>
      <xdr:colOff>57150</xdr:colOff>
      <xdr:row>4</xdr:row>
      <xdr:rowOff>95250</xdr:rowOff>
    </xdr:from>
    <xdr:ext cx="4724400" cy="0"/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287A578F-EE47-4687-8F96-E9E020458387}"/>
            </a:ext>
          </a:extLst>
        </xdr:cNvPr>
        <xdr:cNvCxnSpPr>
          <a:cxnSpLocks noChangeShapeType="1"/>
        </xdr:cNvCxnSpPr>
      </xdr:nvCxnSpPr>
      <xdr:spPr>
        <a:xfrm flipV="1">
          <a:off x="57150" y="887730"/>
          <a:ext cx="4724400" cy="0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4</xdr:col>
      <xdr:colOff>236219</xdr:colOff>
      <xdr:row>85</xdr:row>
      <xdr:rowOff>26295</xdr:rowOff>
    </xdr:from>
    <xdr:ext cx="2571750" cy="2137834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ECA4B3FC-C027-458B-93FC-1E5B86F668E3}"/>
            </a:ext>
          </a:extLst>
        </xdr:cNvPr>
        <xdr:cNvSpPr txBox="1"/>
      </xdr:nvSpPr>
      <xdr:spPr>
        <a:xfrm>
          <a:off x="7877096" y="16779857"/>
          <a:ext cx="2571750" cy="213783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 pitchFamily="7" charset="0"/>
              <a:sym typeface="Arial" panose="020B0604020202020204"/>
            </a:rPr>
            <a:t>Bogor,  31 Desember 2025</a:t>
          </a:r>
          <a:endParaRPr sz="1400" b="1">
            <a:latin typeface="Arial Narrow" panose="020B0606020202030204" pitchFamily="34" charset="0"/>
            <a:cs typeface="Arial" panose="020B0604020202020204" pitchFamily="7" charset="0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 pitchFamily="7" charset="0"/>
              <a:sym typeface="Arial" panose="020B0604020202020204"/>
            </a:rPr>
            <a:t>Kepala Tata Urusan Koperasi</a:t>
          </a:r>
          <a:endParaRPr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 pitchFamily="7" charset="0"/>
            <a:sym typeface="Arial" panose="020B060402020202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 pitchFamily="7" charset="0"/>
            <a:sym typeface="Arial" panose="020B060402020202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lang="id-ID"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 pitchFamily="7" charset="0"/>
            <a:sym typeface="Arial" panose="020B060402020202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lang="en-US"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 pitchFamily="7" charset="0"/>
            <a:sym typeface="Arial" panose="020B060402020202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lang="en-US"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 pitchFamily="7" charset="0"/>
            <a:sym typeface="Arial" panose="020B060402020202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 pitchFamily="7" charset="0"/>
              <a:sym typeface="Arial" panose="020B0604020202020204"/>
            </a:rPr>
            <a:t>Taruna Utama </a:t>
          </a:r>
          <a:r>
            <a:rPr lang="id-ID" sz="1400" b="1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 pitchFamily="7" charset="0"/>
              <a:sym typeface="Arial" panose="020B0604020202020204"/>
            </a:rPr>
            <a:t>Dzabir Herlambang</a:t>
          </a: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 pitchFamily="7" charset="0"/>
              <a:sym typeface="Arial" panose="020B0604020202020204"/>
            </a:rPr>
            <a:t>NIT</a:t>
          </a:r>
          <a:r>
            <a:rPr lang="id-ID" sz="1400" b="1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 pitchFamily="7" charset="0"/>
              <a:sym typeface="Arial" panose="020B0604020202020204"/>
            </a:rPr>
            <a:t>. 22191077 </a:t>
          </a:r>
        </a:p>
      </xdr:txBody>
    </xdr:sp>
    <xdr:clientData fLocksWithSheet="0"/>
  </xdr:oneCellAnchor>
  <xdr:oneCellAnchor>
    <xdr:from>
      <xdr:col>0</xdr:col>
      <xdr:colOff>0</xdr:colOff>
      <xdr:row>86</xdr:row>
      <xdr:rowOff>80473</xdr:rowOff>
    </xdr:from>
    <xdr:ext cx="2514600" cy="1859993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A6097420-3041-4A8E-866F-E0929EA40545}"/>
            </a:ext>
          </a:extLst>
        </xdr:cNvPr>
        <xdr:cNvSpPr txBox="1"/>
      </xdr:nvSpPr>
      <xdr:spPr>
        <a:xfrm>
          <a:off x="0" y="44261233"/>
          <a:ext cx="2514600" cy="185999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/>
              <a:sym typeface="Arial" panose="020B0604020202020204"/>
            </a:rPr>
            <a:t>Kepala Seksi Logistik</a:t>
          </a:r>
          <a:endParaRPr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/>
            <a:sym typeface="Arial" panose="020B060402020202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/>
            <a:sym typeface="Arial" panose="020B060402020202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/>
            <a:sym typeface="Arial" panose="020B060402020202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lang="en-US" sz="1400">
            <a:latin typeface="Arial Narrow" panose="020B0606020202030204" pitchFamily="34" charset="0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lang="en-ID" sz="1400">
            <a:latin typeface="Arial Narrow" panose="020B0606020202030204" pitchFamily="34" charset="0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/>
              <a:sym typeface="Arial" panose="020B0604020202020204"/>
            </a:rPr>
            <a:t>Taruna Utama</a:t>
          </a:r>
          <a:r>
            <a:rPr lang="id-ID" sz="1400" b="1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/>
              <a:sym typeface="Arial" panose="020B0604020202020204"/>
            </a:rPr>
            <a:t> Adrien Deksy</a:t>
          </a: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/>
              <a:sym typeface="Arial" panose="020B0604020202020204"/>
            </a:rPr>
            <a:t>NIT.</a:t>
          </a:r>
          <a:r>
            <a:rPr lang="id-ID" sz="1400" b="1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/>
              <a:sym typeface="Arial" panose="020B0604020202020204"/>
            </a:rPr>
            <a:t> 22191020</a:t>
          </a:r>
          <a:endParaRPr sz="14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2</xdr:col>
      <xdr:colOff>2482079</xdr:colOff>
      <xdr:row>95</xdr:row>
      <xdr:rowOff>73563</xdr:rowOff>
    </xdr:from>
    <xdr:ext cx="2914650" cy="19716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8C9CE493-C730-4CE4-B1B7-E0510EFB44C6}"/>
            </a:ext>
          </a:extLst>
        </xdr:cNvPr>
        <xdr:cNvSpPr txBox="1"/>
      </xdr:nvSpPr>
      <xdr:spPr>
        <a:xfrm>
          <a:off x="3765997" y="18810412"/>
          <a:ext cx="2914650" cy="19716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/>
              <a:sym typeface="Arial" panose="020B0604020202020204"/>
            </a:rPr>
            <a:t>Mengetahui,</a:t>
          </a:r>
          <a:r>
            <a:rPr lang="en-US" sz="1400" b="1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/>
              <a:sym typeface="Arial" panose="020B0604020202020204"/>
            </a:rPr>
            <a:t> </a:t>
          </a:r>
          <a:endParaRPr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/>
            <a:sym typeface="Arial" panose="020B060402020202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/>
              <a:sym typeface="Arial" panose="020B0604020202020204"/>
            </a:rPr>
            <a:t>Komandan Resimen Korps Taruna</a:t>
          </a:r>
          <a:endParaRPr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/>
            <a:sym typeface="Arial" panose="020B060402020202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/>
            <a:sym typeface="Arial" panose="020B060402020202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/>
            <a:sym typeface="Arial" panose="020B060402020202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>
            <a:latin typeface="Arial Narrow" panose="020B0606020202030204" pitchFamily="34" charset="0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lang="en-US" sz="1400">
            <a:latin typeface="Arial Narrow" panose="020B0606020202030204" pitchFamily="34" charset="0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>
            <a:latin typeface="Arial Narrow" panose="020B0606020202030204" pitchFamily="34" charset="0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/>
              <a:sym typeface="Arial" panose="020B0604020202020204"/>
            </a:rPr>
            <a:t>Taruna Utama </a:t>
          </a:r>
          <a:r>
            <a:rPr lang="id-ID" sz="1400" b="1" i="0" u="none" strike="noStrike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/>
              <a:sym typeface="Arial" panose="020B0604020202020204"/>
            </a:rPr>
            <a:t>Pavel Manurung</a:t>
          </a: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/>
              <a:sym typeface="Arial" panose="020B0604020202020204"/>
            </a:rPr>
            <a:t>NIT.</a:t>
          </a:r>
          <a:r>
            <a:rPr lang="id-ID" sz="1400" b="1" i="0" u="none" strike="noStrike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/>
              <a:sym typeface="Arial" panose="020B0604020202020204"/>
            </a:rPr>
            <a:t> 22191240</a:t>
          </a:r>
          <a:endParaRPr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/>
            <a:sym typeface="Arial" panose="020B0604020202020204"/>
          </a:endParaRPr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1</xdr:row>
      <xdr:rowOff>57150</xdr:rowOff>
    </xdr:from>
    <xdr:ext cx="4886325" cy="600075"/>
    <xdr:sp macro="" textlink="">
      <xdr:nvSpPr>
        <xdr:cNvPr id="2" name="Text Box 32">
          <a:extLst>
            <a:ext uri="{FF2B5EF4-FFF2-40B4-BE49-F238E27FC236}">
              <a16:creationId xmlns:a16="http://schemas.microsoft.com/office/drawing/2014/main" id="{25CB6074-E0EB-48E7-B20C-52433A718665}"/>
            </a:ext>
          </a:extLst>
        </xdr:cNvPr>
        <xdr:cNvSpPr txBox="1">
          <a:spLocks noChangeArrowheads="1"/>
        </xdr:cNvSpPr>
      </xdr:nvSpPr>
      <xdr:spPr>
        <a:xfrm>
          <a:off x="57150" y="240030"/>
          <a:ext cx="4886325" cy="60007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rot="0" vert="horz" wrap="square" lIns="91440" tIns="45720" rIns="91440" bIns="45720" anchor="t" anchorCtr="0" upright="1">
          <a:spAutoFit/>
        </a:bodyPr>
        <a:lstStyle/>
        <a:p>
          <a:pPr lvl="0" algn="ctr">
            <a:lnSpc>
              <a:spcPct val="115000"/>
            </a:lnSpc>
            <a:spcAft>
              <a:spcPts val="0"/>
            </a:spcAft>
          </a:pPr>
          <a:r>
            <a:rPr lang="id-ID" sz="1400" b="1">
              <a:effectLst/>
              <a:latin typeface="Arial" panose="020B0604020202020204" pitchFamily="7" charset="0"/>
              <a:ea typeface="Calibri" panose="020F0502020204030204" pitchFamily="34" charset="0"/>
              <a:cs typeface="Times New Roman" panose="02020603050405020304" pitchFamily="18" charset="0"/>
            </a:rPr>
            <a:t>SEKOLAH TINGGI INTELIJEN NEGARA</a:t>
          </a:r>
          <a:endParaRPr lang="en-ID" sz="1200" b="1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lvl="0" algn="ctr">
            <a:lnSpc>
              <a:spcPct val="150000"/>
            </a:lnSpc>
            <a:spcAft>
              <a:spcPts val="0"/>
            </a:spcAft>
          </a:pPr>
          <a:r>
            <a:rPr lang="en-US" sz="1400" b="1">
              <a:effectLst/>
              <a:latin typeface="Arial" panose="020B0604020202020204" pitchFamily="7" charset="0"/>
              <a:ea typeface="Calibri" panose="020F0502020204030204" pitchFamily="34" charset="0"/>
              <a:cs typeface="Times New Roman" panose="02020603050405020304" pitchFamily="18" charset="0"/>
            </a:rPr>
            <a:t>RESIMEN KORPS TARUNA</a:t>
          </a:r>
          <a:endParaRPr lang="en-ID" sz="1200" b="1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 fLocksWithSheet="0"/>
  </xdr:oneCellAnchor>
  <xdr:oneCellAnchor>
    <xdr:from>
      <xdr:col>0</xdr:col>
      <xdr:colOff>57150</xdr:colOff>
      <xdr:row>4</xdr:row>
      <xdr:rowOff>95250</xdr:rowOff>
    </xdr:from>
    <xdr:ext cx="4724400" cy="0"/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3F6109F-8945-4322-9FD9-5A6C8DC70007}"/>
            </a:ext>
          </a:extLst>
        </xdr:cNvPr>
        <xdr:cNvCxnSpPr>
          <a:cxnSpLocks noChangeShapeType="1"/>
        </xdr:cNvCxnSpPr>
      </xdr:nvCxnSpPr>
      <xdr:spPr>
        <a:xfrm flipV="1">
          <a:off x="57150" y="826770"/>
          <a:ext cx="4724400" cy="0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4</xdr:col>
      <xdr:colOff>7322</xdr:colOff>
      <xdr:row>111</xdr:row>
      <xdr:rowOff>117581</xdr:rowOff>
    </xdr:from>
    <xdr:ext cx="2571750" cy="2137834"/>
    <xdr:sp macro="" textlink="">
      <xdr:nvSpPr>
        <xdr:cNvPr id="4" name="Shape 5">
          <a:extLst>
            <a:ext uri="{FF2B5EF4-FFF2-40B4-BE49-F238E27FC236}">
              <a16:creationId xmlns:a16="http://schemas.microsoft.com/office/drawing/2014/main" id="{A1410BBA-977F-4D60-8790-31607B505A41}"/>
            </a:ext>
          </a:extLst>
        </xdr:cNvPr>
        <xdr:cNvSpPr txBox="1"/>
      </xdr:nvSpPr>
      <xdr:spPr>
        <a:xfrm>
          <a:off x="7139166" y="10095019"/>
          <a:ext cx="2571750" cy="213783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 pitchFamily="7" charset="0"/>
              <a:sym typeface="Arial" panose="020B0604020202020204"/>
            </a:rPr>
            <a:t>Bogor,  31 Januari 2026</a:t>
          </a:r>
          <a:endParaRPr sz="1400" b="1">
            <a:latin typeface="Arial Narrow" panose="020B0606020202030204" pitchFamily="34" charset="0"/>
            <a:cs typeface="Arial" panose="020B0604020202020204" pitchFamily="7" charset="0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 pitchFamily="7" charset="0"/>
              <a:sym typeface="Arial" panose="020B0604020202020204"/>
            </a:rPr>
            <a:t>Kepala Tata Urusan Koperasi</a:t>
          </a:r>
          <a:endParaRPr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 pitchFamily="7" charset="0"/>
            <a:sym typeface="Arial" panose="020B060402020202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 pitchFamily="7" charset="0"/>
            <a:sym typeface="Arial" panose="020B060402020202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lang="id-ID"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 pitchFamily="7" charset="0"/>
            <a:sym typeface="Arial" panose="020B060402020202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lang="en-US"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 pitchFamily="7" charset="0"/>
            <a:sym typeface="Arial" panose="020B060402020202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lang="en-US"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 pitchFamily="7" charset="0"/>
            <a:sym typeface="Arial" panose="020B060402020202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 pitchFamily="7" charset="0"/>
              <a:sym typeface="Arial" panose="020B0604020202020204"/>
            </a:rPr>
            <a:t>Taruna Utama </a:t>
          </a:r>
          <a:r>
            <a:rPr lang="id-ID" sz="1400" b="1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 pitchFamily="7" charset="0"/>
              <a:sym typeface="Arial" panose="020B0604020202020204"/>
            </a:rPr>
            <a:t>Dzabir Herlambang</a:t>
          </a: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 pitchFamily="7" charset="0"/>
              <a:sym typeface="Arial" panose="020B0604020202020204"/>
            </a:rPr>
            <a:t>NIT</a:t>
          </a:r>
          <a:r>
            <a:rPr lang="id-ID" sz="1400" b="1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 pitchFamily="7" charset="0"/>
              <a:sym typeface="Arial" panose="020B0604020202020204"/>
            </a:rPr>
            <a:t>. 22191077 </a:t>
          </a:r>
        </a:p>
      </xdr:txBody>
    </xdr:sp>
    <xdr:clientData fLocksWithSheet="0"/>
  </xdr:oneCellAnchor>
  <xdr:oneCellAnchor>
    <xdr:from>
      <xdr:col>0</xdr:col>
      <xdr:colOff>0</xdr:colOff>
      <xdr:row>112</xdr:row>
      <xdr:rowOff>180258</xdr:rowOff>
    </xdr:from>
    <xdr:ext cx="2514600" cy="1859993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5EF93FEC-10B3-49B4-A89B-CAFB53C4C090}"/>
            </a:ext>
          </a:extLst>
        </xdr:cNvPr>
        <xdr:cNvSpPr txBox="1"/>
      </xdr:nvSpPr>
      <xdr:spPr>
        <a:xfrm>
          <a:off x="0" y="10249544"/>
          <a:ext cx="2514600" cy="185999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/>
              <a:sym typeface="Arial" panose="020B0604020202020204"/>
            </a:rPr>
            <a:t>Kepala Seksi Logistik</a:t>
          </a:r>
          <a:endParaRPr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/>
            <a:sym typeface="Arial" panose="020B060402020202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/>
            <a:sym typeface="Arial" panose="020B060402020202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/>
            <a:sym typeface="Arial" panose="020B060402020202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lang="en-US" sz="1400">
            <a:latin typeface="Arial Narrow" panose="020B0606020202030204" pitchFamily="34" charset="0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lang="en-ID" sz="1400">
            <a:latin typeface="Arial Narrow" panose="020B0606020202030204" pitchFamily="34" charset="0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/>
              <a:sym typeface="Arial" panose="020B0604020202020204"/>
            </a:rPr>
            <a:t>Taruna Utama</a:t>
          </a:r>
          <a:r>
            <a:rPr lang="id-ID" sz="1400" b="1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/>
              <a:sym typeface="Arial" panose="020B0604020202020204"/>
            </a:rPr>
            <a:t> Adrien Deksy</a:t>
          </a: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/>
              <a:sym typeface="Arial" panose="020B0604020202020204"/>
            </a:rPr>
            <a:t>NIT.</a:t>
          </a:r>
          <a:r>
            <a:rPr lang="id-ID" sz="1400" b="1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/>
              <a:sym typeface="Arial" panose="020B0604020202020204"/>
            </a:rPr>
            <a:t> 22191020</a:t>
          </a:r>
          <a:endParaRPr sz="1400">
            <a:latin typeface="Arial Narrow" panose="020B0606020202030204" pitchFamily="34" charset="0"/>
          </a:endParaRPr>
        </a:p>
      </xdr:txBody>
    </xdr:sp>
    <xdr:clientData fLocksWithSheet="0"/>
  </xdr:oneCellAnchor>
  <xdr:oneCellAnchor>
    <xdr:from>
      <xdr:col>2</xdr:col>
      <xdr:colOff>1914550</xdr:colOff>
      <xdr:row>122</xdr:row>
      <xdr:rowOff>35576</xdr:rowOff>
    </xdr:from>
    <xdr:ext cx="2914650" cy="19716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370DCFEF-BDA8-435B-9BA3-D44F1B0657FF}"/>
            </a:ext>
          </a:extLst>
        </xdr:cNvPr>
        <xdr:cNvSpPr txBox="1"/>
      </xdr:nvSpPr>
      <xdr:spPr>
        <a:xfrm>
          <a:off x="3295675" y="12239482"/>
          <a:ext cx="2914650" cy="19716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/>
              <a:sym typeface="Arial" panose="020B0604020202020204"/>
            </a:rPr>
            <a:t>Mengetahui,</a:t>
          </a:r>
          <a:r>
            <a:rPr lang="en-US" sz="1400" b="1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/>
              <a:sym typeface="Arial" panose="020B0604020202020204"/>
            </a:rPr>
            <a:t> </a:t>
          </a:r>
          <a:endParaRPr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/>
            <a:sym typeface="Arial" panose="020B060402020202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/>
              <a:sym typeface="Arial" panose="020B0604020202020204"/>
            </a:rPr>
            <a:t>Komandan Resimen Korps Taruna</a:t>
          </a:r>
          <a:endParaRPr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/>
            <a:sym typeface="Arial" panose="020B060402020202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/>
            <a:sym typeface="Arial" panose="020B060402020202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/>
            <a:sym typeface="Arial" panose="020B060402020202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>
            <a:latin typeface="Arial Narrow" panose="020B0606020202030204" pitchFamily="34" charset="0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lang="en-US" sz="1400">
            <a:latin typeface="Arial Narrow" panose="020B0606020202030204" pitchFamily="34" charset="0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>
            <a:latin typeface="Arial Narrow" panose="020B0606020202030204" pitchFamily="34" charset="0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/>
              <a:sym typeface="Arial" panose="020B0604020202020204"/>
            </a:rPr>
            <a:t>Taruna Utama </a:t>
          </a:r>
          <a:r>
            <a:rPr lang="id-ID" sz="1400" b="1" i="0" u="none" strike="noStrike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/>
              <a:sym typeface="Arial" panose="020B0604020202020204"/>
            </a:rPr>
            <a:t>Pavel Manurung</a:t>
          </a: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/>
              <a:sym typeface="Arial" panose="020B0604020202020204"/>
            </a:rPr>
            <a:t>NIT.</a:t>
          </a:r>
          <a:r>
            <a:rPr lang="id-ID" sz="1400" b="1" i="0" u="none" strike="noStrike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/>
              <a:sym typeface="Arial" panose="020B0604020202020204"/>
            </a:rPr>
            <a:t> 22191240</a:t>
          </a:r>
          <a:endParaRPr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/>
            <a:sym typeface="Arial" panose="020B0604020202020204"/>
          </a:endParaRPr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1</xdr:row>
      <xdr:rowOff>57150</xdr:rowOff>
    </xdr:from>
    <xdr:ext cx="4886325" cy="600075"/>
    <xdr:sp macro="" textlink="">
      <xdr:nvSpPr>
        <xdr:cNvPr id="2" name="Text Box 32">
          <a:extLst>
            <a:ext uri="{FF2B5EF4-FFF2-40B4-BE49-F238E27FC236}">
              <a16:creationId xmlns:a16="http://schemas.microsoft.com/office/drawing/2014/main" id="{287F4F8C-8671-4CB3-AB59-9280044C858A}"/>
            </a:ext>
          </a:extLst>
        </xdr:cNvPr>
        <xdr:cNvSpPr txBox="1">
          <a:spLocks noChangeArrowheads="1"/>
        </xdr:cNvSpPr>
      </xdr:nvSpPr>
      <xdr:spPr>
        <a:xfrm>
          <a:off x="57150" y="240030"/>
          <a:ext cx="4886325" cy="60007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rot="0" vert="horz" wrap="square" lIns="91440" tIns="45720" rIns="91440" bIns="45720" anchor="t" anchorCtr="0" upright="1">
          <a:spAutoFit/>
        </a:bodyPr>
        <a:lstStyle/>
        <a:p>
          <a:pPr lvl="0" algn="ctr">
            <a:lnSpc>
              <a:spcPct val="115000"/>
            </a:lnSpc>
            <a:spcAft>
              <a:spcPts val="0"/>
            </a:spcAft>
          </a:pPr>
          <a:r>
            <a:rPr lang="id-ID" sz="1400" b="1">
              <a:effectLst/>
              <a:latin typeface="Arial" panose="020B0604020202020204" pitchFamily="7" charset="0"/>
              <a:ea typeface="Calibri" panose="020F0502020204030204" pitchFamily="34" charset="0"/>
              <a:cs typeface="Times New Roman" panose="02020603050405020304" pitchFamily="18" charset="0"/>
            </a:rPr>
            <a:t>SEKOLAH TINGGI INTELIJEN NEGARA</a:t>
          </a:r>
          <a:endParaRPr lang="en-ID" sz="1200" b="1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lvl="0" algn="ctr">
            <a:lnSpc>
              <a:spcPct val="150000"/>
            </a:lnSpc>
            <a:spcAft>
              <a:spcPts val="0"/>
            </a:spcAft>
          </a:pPr>
          <a:r>
            <a:rPr lang="en-US" sz="1400" b="1">
              <a:effectLst/>
              <a:latin typeface="Arial" panose="020B0604020202020204" pitchFamily="7" charset="0"/>
              <a:ea typeface="Calibri" panose="020F0502020204030204" pitchFamily="34" charset="0"/>
              <a:cs typeface="Times New Roman" panose="02020603050405020304" pitchFamily="18" charset="0"/>
            </a:rPr>
            <a:t>RESIMEN KORPS TARUNA</a:t>
          </a:r>
          <a:endParaRPr lang="en-ID" sz="1200" b="1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 fLocksWithSheet="0"/>
  </xdr:oneCellAnchor>
  <xdr:oneCellAnchor>
    <xdr:from>
      <xdr:col>0</xdr:col>
      <xdr:colOff>57150</xdr:colOff>
      <xdr:row>4</xdr:row>
      <xdr:rowOff>95250</xdr:rowOff>
    </xdr:from>
    <xdr:ext cx="4724400" cy="0"/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3D76E217-E2D7-4337-B0E0-AB047BD051AF}"/>
            </a:ext>
          </a:extLst>
        </xdr:cNvPr>
        <xdr:cNvCxnSpPr>
          <a:cxnSpLocks noChangeShapeType="1"/>
        </xdr:cNvCxnSpPr>
      </xdr:nvCxnSpPr>
      <xdr:spPr>
        <a:xfrm flipV="1">
          <a:off x="57150" y="826770"/>
          <a:ext cx="4724400" cy="0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3</xdr:col>
      <xdr:colOff>807422</xdr:colOff>
      <xdr:row>93</xdr:row>
      <xdr:rowOff>79481</xdr:rowOff>
    </xdr:from>
    <xdr:ext cx="2571750" cy="2137834"/>
    <xdr:sp macro="" textlink="">
      <xdr:nvSpPr>
        <xdr:cNvPr id="4" name="Shape 5">
          <a:extLst>
            <a:ext uri="{FF2B5EF4-FFF2-40B4-BE49-F238E27FC236}">
              <a16:creationId xmlns:a16="http://schemas.microsoft.com/office/drawing/2014/main" id="{FB33B2BB-8B8B-4397-9640-A26CC1F5CB98}"/>
            </a:ext>
          </a:extLst>
        </xdr:cNvPr>
        <xdr:cNvSpPr txBox="1"/>
      </xdr:nvSpPr>
      <xdr:spPr>
        <a:xfrm>
          <a:off x="6491942" y="17620721"/>
          <a:ext cx="2571750" cy="213783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 pitchFamily="7" charset="0"/>
              <a:sym typeface="Arial" panose="020B0604020202020204"/>
            </a:rPr>
            <a:t>Bogor, 28 Februari 2026</a:t>
          </a:r>
          <a:endParaRPr sz="1400" b="1">
            <a:latin typeface="Arial Narrow" panose="020B0606020202030204" pitchFamily="34" charset="0"/>
            <a:cs typeface="Arial" panose="020B0604020202020204" pitchFamily="7" charset="0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 pitchFamily="7" charset="0"/>
              <a:sym typeface="Arial" panose="020B0604020202020204"/>
            </a:rPr>
            <a:t>Kepala Tata Urusan Koperasi</a:t>
          </a:r>
          <a:endParaRPr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 pitchFamily="7" charset="0"/>
            <a:sym typeface="Arial" panose="020B060402020202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 pitchFamily="7" charset="0"/>
            <a:sym typeface="Arial" panose="020B060402020202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lang="id-ID"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 pitchFamily="7" charset="0"/>
            <a:sym typeface="Arial" panose="020B060402020202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lang="en-US"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 pitchFamily="7" charset="0"/>
            <a:sym typeface="Arial" panose="020B060402020202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lang="en-US"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 pitchFamily="7" charset="0"/>
            <a:sym typeface="Arial" panose="020B060402020202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 pitchFamily="7" charset="0"/>
              <a:sym typeface="Arial" panose="020B0604020202020204"/>
            </a:rPr>
            <a:t>Taruna Madya Sandero Alesandro</a:t>
          </a: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 pitchFamily="7" charset="0"/>
              <a:sym typeface="Arial" panose="020B0604020202020204"/>
            </a:rPr>
            <a:t>NIT</a:t>
          </a:r>
          <a:r>
            <a:rPr lang="id-ID" sz="1400" b="1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 pitchFamily="7" charset="0"/>
              <a:sym typeface="Arial" panose="020B0604020202020204"/>
            </a:rPr>
            <a:t>. 23201269 </a:t>
          </a:r>
        </a:p>
      </xdr:txBody>
    </xdr:sp>
    <xdr:clientData fLocksWithSheet="0"/>
  </xdr:oneCellAnchor>
  <xdr:oneCellAnchor>
    <xdr:from>
      <xdr:col>0</xdr:col>
      <xdr:colOff>0</xdr:colOff>
      <xdr:row>94</xdr:row>
      <xdr:rowOff>136171</xdr:rowOff>
    </xdr:from>
    <xdr:ext cx="2514600" cy="1859993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A07CE011-4DC3-4E98-B88B-956E059EF6A9}"/>
            </a:ext>
          </a:extLst>
        </xdr:cNvPr>
        <xdr:cNvSpPr txBox="1"/>
      </xdr:nvSpPr>
      <xdr:spPr>
        <a:xfrm>
          <a:off x="0" y="19744064"/>
          <a:ext cx="2514600" cy="185999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/>
              <a:sym typeface="Arial" panose="020B0604020202020204"/>
            </a:rPr>
            <a:t>Kepala Seksi Logistik</a:t>
          </a:r>
          <a:endParaRPr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/>
            <a:sym typeface="Arial" panose="020B060402020202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/>
            <a:sym typeface="Arial" panose="020B060402020202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/>
            <a:sym typeface="Arial" panose="020B060402020202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lang="en-US" sz="1400">
            <a:latin typeface="Arial Narrow" panose="020B0606020202030204" pitchFamily="34" charset="0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lang="en-ID" sz="1400">
            <a:latin typeface="Arial Narrow" panose="020B0606020202030204" pitchFamily="34" charset="0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/>
              <a:sym typeface="Arial" panose="020B0604020202020204"/>
            </a:rPr>
            <a:t>Taruna Madya Fabio Caesar</a:t>
          </a: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/>
              <a:sym typeface="Arial" panose="020B0604020202020204"/>
            </a:rPr>
            <a:t>NIT. 23201086</a:t>
          </a:r>
        </a:p>
      </xdr:txBody>
    </xdr:sp>
    <xdr:clientData fLocksWithSheet="0"/>
  </xdr:oneCellAnchor>
  <xdr:oneCellAnchor>
    <xdr:from>
      <xdr:col>2</xdr:col>
      <xdr:colOff>1890232</xdr:colOff>
      <xdr:row>105</xdr:row>
      <xdr:rowOff>140332</xdr:rowOff>
    </xdr:from>
    <xdr:ext cx="2914650" cy="19716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83E01E15-2534-480C-9D40-7D7CDA0DCFBE}"/>
            </a:ext>
          </a:extLst>
        </xdr:cNvPr>
        <xdr:cNvSpPr txBox="1"/>
      </xdr:nvSpPr>
      <xdr:spPr>
        <a:xfrm>
          <a:off x="3106189" y="21038587"/>
          <a:ext cx="2914650" cy="19716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/>
              <a:sym typeface="Arial" panose="020B0604020202020204"/>
            </a:rPr>
            <a:t>Mengetahui,</a:t>
          </a:r>
          <a:r>
            <a:rPr lang="en-US" sz="1400" b="1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/>
              <a:sym typeface="Arial" panose="020B0604020202020204"/>
            </a:rPr>
            <a:t> </a:t>
          </a:r>
          <a:endParaRPr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/>
            <a:sym typeface="Arial" panose="020B060402020202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/>
              <a:sym typeface="Arial" panose="020B0604020202020204"/>
            </a:rPr>
            <a:t>Komandan Resimen Korps Taruna</a:t>
          </a:r>
          <a:endParaRPr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/>
            <a:sym typeface="Arial" panose="020B060402020202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/>
            <a:sym typeface="Arial" panose="020B060402020202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/>
            <a:sym typeface="Arial" panose="020B060402020202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>
            <a:latin typeface="Arial Narrow" panose="020B0606020202030204" pitchFamily="34" charset="0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lang="en-US" sz="1400">
            <a:latin typeface="Arial Narrow" panose="020B0606020202030204" pitchFamily="34" charset="0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>
            <a:latin typeface="Arial Narrow" panose="020B0606020202030204" pitchFamily="34" charset="0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/>
              <a:sym typeface="Arial" panose="020B0604020202020204"/>
            </a:rPr>
            <a:t>Taruna Madya Adnan Faisal</a:t>
          </a: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/>
              <a:sym typeface="Arial" panose="020B0604020202020204"/>
            </a:rPr>
            <a:t>NIT. 23201004</a:t>
          </a:r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1</xdr:row>
      <xdr:rowOff>57150</xdr:rowOff>
    </xdr:from>
    <xdr:ext cx="4886325" cy="600075"/>
    <xdr:sp macro="" textlink="">
      <xdr:nvSpPr>
        <xdr:cNvPr id="2" name="Text Box 32">
          <a:extLst>
            <a:ext uri="{FF2B5EF4-FFF2-40B4-BE49-F238E27FC236}">
              <a16:creationId xmlns:a16="http://schemas.microsoft.com/office/drawing/2014/main" id="{5C917BE5-C282-4F7B-B469-5E0EA92E1215}"/>
            </a:ext>
          </a:extLst>
        </xdr:cNvPr>
        <xdr:cNvSpPr txBox="1">
          <a:spLocks noChangeArrowheads="1"/>
        </xdr:cNvSpPr>
      </xdr:nvSpPr>
      <xdr:spPr>
        <a:xfrm>
          <a:off x="57150" y="240030"/>
          <a:ext cx="4886325" cy="60007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rot="0" vert="horz" wrap="square" lIns="91440" tIns="45720" rIns="91440" bIns="45720" anchor="t" anchorCtr="0" upright="1">
          <a:spAutoFit/>
        </a:bodyPr>
        <a:lstStyle/>
        <a:p>
          <a:pPr lvl="0" algn="ctr">
            <a:lnSpc>
              <a:spcPct val="115000"/>
            </a:lnSpc>
            <a:spcAft>
              <a:spcPts val="0"/>
            </a:spcAft>
          </a:pPr>
          <a:r>
            <a:rPr lang="id-ID" sz="1400" b="1">
              <a:effectLst/>
              <a:latin typeface="Arial" panose="020B0604020202020204" pitchFamily="7" charset="0"/>
              <a:ea typeface="Calibri" panose="020F0502020204030204" pitchFamily="34" charset="0"/>
              <a:cs typeface="Times New Roman" panose="02020603050405020304" pitchFamily="18" charset="0"/>
            </a:rPr>
            <a:t>SEKOLAH TINGGI INTELIJEN NEGARA</a:t>
          </a:r>
          <a:endParaRPr lang="en-ID" sz="1200" b="1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lvl="0" algn="ctr">
            <a:lnSpc>
              <a:spcPct val="150000"/>
            </a:lnSpc>
            <a:spcAft>
              <a:spcPts val="0"/>
            </a:spcAft>
          </a:pPr>
          <a:r>
            <a:rPr lang="en-US" sz="1400" b="1">
              <a:effectLst/>
              <a:latin typeface="Arial" panose="020B0604020202020204" pitchFamily="7" charset="0"/>
              <a:ea typeface="Calibri" panose="020F0502020204030204" pitchFamily="34" charset="0"/>
              <a:cs typeface="Times New Roman" panose="02020603050405020304" pitchFamily="18" charset="0"/>
            </a:rPr>
            <a:t>RESIMEN KORPS TARUNA</a:t>
          </a:r>
          <a:endParaRPr lang="en-ID" sz="1200" b="1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 fLocksWithSheet="0"/>
  </xdr:oneCellAnchor>
  <xdr:oneCellAnchor>
    <xdr:from>
      <xdr:col>0</xdr:col>
      <xdr:colOff>57150</xdr:colOff>
      <xdr:row>4</xdr:row>
      <xdr:rowOff>95250</xdr:rowOff>
    </xdr:from>
    <xdr:ext cx="4724400" cy="0"/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9910A97F-2F87-4F49-96A1-90A0039462C7}"/>
            </a:ext>
          </a:extLst>
        </xdr:cNvPr>
        <xdr:cNvCxnSpPr>
          <a:cxnSpLocks noChangeShapeType="1"/>
        </xdr:cNvCxnSpPr>
      </xdr:nvCxnSpPr>
      <xdr:spPr>
        <a:xfrm flipV="1">
          <a:off x="57150" y="826770"/>
          <a:ext cx="4724400" cy="0"/>
        </a:xfrm>
        <a:prstGeom prst="straightConnector1">
          <a:avLst/>
        </a:prstGeom>
        <a:ln w="6350" cap="flat" cmpd="sng" algn="ctr">
          <a:solidFill>
            <a:schemeClr val="dk1"/>
          </a:solidFill>
          <a:prstDash val="solid"/>
          <a:miter lim="800000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3</xdr:col>
      <xdr:colOff>807422</xdr:colOff>
      <xdr:row>13</xdr:row>
      <xdr:rowOff>79481</xdr:rowOff>
    </xdr:from>
    <xdr:ext cx="2571750" cy="2137834"/>
    <xdr:sp macro="" textlink="">
      <xdr:nvSpPr>
        <xdr:cNvPr id="4" name="Shape 5">
          <a:extLst>
            <a:ext uri="{FF2B5EF4-FFF2-40B4-BE49-F238E27FC236}">
              <a16:creationId xmlns:a16="http://schemas.microsoft.com/office/drawing/2014/main" id="{C05468B4-A2FE-4BC9-9AD7-D3DC61CAC006}"/>
            </a:ext>
          </a:extLst>
        </xdr:cNvPr>
        <xdr:cNvSpPr txBox="1"/>
      </xdr:nvSpPr>
      <xdr:spPr>
        <a:xfrm>
          <a:off x="6491942" y="19007561"/>
          <a:ext cx="2571750" cy="213783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 pitchFamily="7" charset="0"/>
              <a:sym typeface="Arial" panose="020B0604020202020204"/>
            </a:rPr>
            <a:t>Bogor, 31 Maret 2026</a:t>
          </a:r>
          <a:endParaRPr sz="1400" b="1">
            <a:latin typeface="Arial Narrow" panose="020B0606020202030204" pitchFamily="34" charset="0"/>
            <a:cs typeface="Arial" panose="020B0604020202020204" pitchFamily="7" charset="0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 pitchFamily="7" charset="0"/>
              <a:sym typeface="Arial" panose="020B0604020202020204"/>
            </a:rPr>
            <a:t>Kepala Tata Urusan Koperasi</a:t>
          </a:r>
          <a:endParaRPr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 pitchFamily="7" charset="0"/>
            <a:sym typeface="Arial" panose="020B060402020202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 pitchFamily="7" charset="0"/>
            <a:sym typeface="Arial" panose="020B060402020202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lang="id-ID"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 pitchFamily="7" charset="0"/>
            <a:sym typeface="Arial" panose="020B060402020202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lang="en-US"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 pitchFamily="7" charset="0"/>
            <a:sym typeface="Arial" panose="020B060402020202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lang="en-US"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 pitchFamily="7" charset="0"/>
            <a:sym typeface="Arial" panose="020B060402020202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 pitchFamily="7" charset="0"/>
              <a:sym typeface="Arial" panose="020B0604020202020204"/>
            </a:rPr>
            <a:t>Taruna Madya Sandero Alesandro</a:t>
          </a: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 pitchFamily="7" charset="0"/>
              <a:sym typeface="Arial" panose="020B0604020202020204"/>
            </a:rPr>
            <a:t>NIT</a:t>
          </a:r>
          <a:r>
            <a:rPr lang="id-ID" sz="1400" b="1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 pitchFamily="7" charset="0"/>
              <a:sym typeface="Arial" panose="020B0604020202020204"/>
            </a:rPr>
            <a:t>. 23201269 </a:t>
          </a:r>
        </a:p>
      </xdr:txBody>
    </xdr:sp>
    <xdr:clientData fLocksWithSheet="0"/>
  </xdr:oneCellAnchor>
  <xdr:oneCellAnchor>
    <xdr:from>
      <xdr:col>0</xdr:col>
      <xdr:colOff>0</xdr:colOff>
      <xdr:row>14</xdr:row>
      <xdr:rowOff>136171</xdr:rowOff>
    </xdr:from>
    <xdr:ext cx="2514600" cy="1859993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7CB853CF-9512-460F-9754-9E4E4B36274E}"/>
            </a:ext>
          </a:extLst>
        </xdr:cNvPr>
        <xdr:cNvSpPr txBox="1"/>
      </xdr:nvSpPr>
      <xdr:spPr>
        <a:xfrm>
          <a:off x="0" y="19247131"/>
          <a:ext cx="2514600" cy="185999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/>
              <a:sym typeface="Arial" panose="020B0604020202020204"/>
            </a:rPr>
            <a:t>Kepala Seksi Logistik</a:t>
          </a:r>
          <a:endParaRPr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/>
            <a:sym typeface="Arial" panose="020B060402020202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/>
            <a:sym typeface="Arial" panose="020B060402020202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/>
            <a:sym typeface="Arial" panose="020B060402020202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lang="en-US" sz="1400">
            <a:latin typeface="Arial Narrow" panose="020B0606020202030204" pitchFamily="34" charset="0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lang="en-ID" sz="1400">
            <a:latin typeface="Arial Narrow" panose="020B0606020202030204" pitchFamily="34" charset="0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/>
              <a:sym typeface="Arial" panose="020B0604020202020204"/>
            </a:rPr>
            <a:t>Taruna Madya Fabio Caesar</a:t>
          </a: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/>
              <a:sym typeface="Arial" panose="020B0604020202020204"/>
            </a:rPr>
            <a:t>NIT. 23201086</a:t>
          </a:r>
        </a:p>
      </xdr:txBody>
    </xdr:sp>
    <xdr:clientData fLocksWithSheet="0"/>
  </xdr:oneCellAnchor>
  <xdr:oneCellAnchor>
    <xdr:from>
      <xdr:col>2</xdr:col>
      <xdr:colOff>1890232</xdr:colOff>
      <xdr:row>25</xdr:row>
      <xdr:rowOff>140332</xdr:rowOff>
    </xdr:from>
    <xdr:ext cx="2914650" cy="19716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E54AC25C-1AD3-488B-B21F-38F86E47F704}"/>
            </a:ext>
          </a:extLst>
        </xdr:cNvPr>
        <xdr:cNvSpPr txBox="1"/>
      </xdr:nvSpPr>
      <xdr:spPr>
        <a:xfrm>
          <a:off x="3109432" y="21323932"/>
          <a:ext cx="2914650" cy="19716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/>
              <a:sym typeface="Arial" panose="020B0604020202020204"/>
            </a:rPr>
            <a:t>Mengetahui,</a:t>
          </a:r>
          <a:r>
            <a:rPr lang="en-US" sz="1400" b="1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/>
              <a:sym typeface="Arial" panose="020B0604020202020204"/>
            </a:rPr>
            <a:t> </a:t>
          </a:r>
          <a:endParaRPr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/>
            <a:sym typeface="Arial" panose="020B060402020202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/>
              <a:sym typeface="Arial" panose="020B0604020202020204"/>
            </a:rPr>
            <a:t>Komandan Resimen Korps Taruna</a:t>
          </a:r>
          <a:endParaRPr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/>
            <a:sym typeface="Arial" panose="020B060402020202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/>
            <a:sym typeface="Arial" panose="020B060402020202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1" i="0" u="none" strike="noStrike">
            <a:solidFill>
              <a:schemeClr val="dk1"/>
            </a:solidFill>
            <a:latin typeface="Arial Narrow" panose="020B0606020202030204" pitchFamily="34" charset="0"/>
            <a:ea typeface="Arial" panose="020B0604020202020204"/>
            <a:cs typeface="Arial" panose="020B0604020202020204"/>
            <a:sym typeface="Arial" panose="020B0604020202020204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>
            <a:latin typeface="Arial Narrow" panose="020B0606020202030204" pitchFamily="34" charset="0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lang="en-US" sz="1400">
            <a:latin typeface="Arial Narrow" panose="020B0606020202030204" pitchFamily="34" charset="0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>
            <a:latin typeface="Arial Narrow" panose="020B0606020202030204" pitchFamily="34" charset="0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/>
              <a:sym typeface="Arial" panose="020B0604020202020204"/>
            </a:rPr>
            <a:t>Taruna Madya Adnan Faisal</a:t>
          </a: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solidFill>
                <a:schemeClr val="dk1"/>
              </a:solidFill>
              <a:latin typeface="Arial Narrow" panose="020B0606020202030204" pitchFamily="34" charset="0"/>
              <a:ea typeface="Arial" panose="020B0604020202020204"/>
              <a:cs typeface="Arial" panose="020B0604020202020204"/>
              <a:sym typeface="Arial" panose="020B0604020202020204"/>
            </a:rPr>
            <a:t>NIT. 23201004</a:t>
          </a: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99"/>
  <sheetViews>
    <sheetView topLeftCell="D263" zoomScale="86" zoomScaleNormal="100" workbookViewId="0">
      <selection activeCell="C281" activeCellId="2" sqref="C282 C276 C281"/>
    </sheetView>
  </sheetViews>
  <sheetFormatPr defaultColWidth="14.44140625" defaultRowHeight="15" customHeight="1"/>
  <cols>
    <col min="1" max="1" width="8.77734375" customWidth="1"/>
    <col min="2" max="2" width="11.77734375" customWidth="1"/>
    <col min="3" max="3" width="61.21875" customWidth="1"/>
    <col min="4" max="4" width="40" customWidth="1"/>
    <col min="5" max="5" width="32" customWidth="1"/>
    <col min="6" max="6" width="15.44140625" customWidth="1"/>
    <col min="7" max="11" width="8.77734375" customWidth="1"/>
  </cols>
  <sheetData>
    <row r="1" spans="1:5" ht="14.25" customHeight="1">
      <c r="A1" s="97"/>
      <c r="B1" s="98"/>
      <c r="C1" s="98"/>
      <c r="D1" s="98"/>
      <c r="E1" s="98"/>
    </row>
    <row r="2" spans="1:5" ht="14.25" customHeight="1">
      <c r="A2" s="98"/>
      <c r="B2" s="98"/>
      <c r="C2" s="98"/>
      <c r="D2" s="98"/>
      <c r="E2" s="98"/>
    </row>
    <row r="3" spans="1:5" ht="14.25" customHeight="1">
      <c r="A3" s="98"/>
      <c r="B3" s="98"/>
      <c r="C3" s="98"/>
      <c r="D3" s="98"/>
      <c r="E3" s="98"/>
    </row>
    <row r="4" spans="1:5" ht="14.25" customHeight="1">
      <c r="A4" s="98"/>
      <c r="B4" s="98"/>
      <c r="C4" s="98"/>
      <c r="D4" s="98"/>
      <c r="E4" s="98"/>
    </row>
    <row r="5" spans="1:5" ht="14.25" customHeight="1">
      <c r="A5" s="98"/>
      <c r="B5" s="98"/>
      <c r="C5" s="98"/>
      <c r="D5" s="98"/>
      <c r="E5" s="98"/>
    </row>
    <row r="6" spans="1:5" ht="14.25" customHeight="1">
      <c r="A6" s="98"/>
      <c r="B6" s="98"/>
      <c r="C6" s="98"/>
      <c r="D6" s="98"/>
      <c r="E6" s="98"/>
    </row>
    <row r="7" spans="1:5" ht="14.25" customHeight="1">
      <c r="A7" s="99" t="s">
        <v>0</v>
      </c>
      <c r="B7" s="100"/>
      <c r="C7" s="100"/>
      <c r="D7" s="100"/>
      <c r="E7" s="100"/>
    </row>
    <row r="8" spans="1:5" ht="14.25" customHeight="1">
      <c r="A8" s="101" t="s">
        <v>6</v>
      </c>
      <c r="B8" s="100"/>
      <c r="C8" s="102"/>
      <c r="D8" s="102"/>
      <c r="E8" s="102"/>
    </row>
    <row r="9" spans="1:5" ht="14.25" customHeight="1">
      <c r="A9" s="17" t="s">
        <v>1</v>
      </c>
      <c r="B9" s="18" t="s">
        <v>2</v>
      </c>
      <c r="C9" s="16" t="s">
        <v>3</v>
      </c>
      <c r="D9" s="14" t="s">
        <v>4</v>
      </c>
      <c r="E9" s="14" t="s">
        <v>5</v>
      </c>
    </row>
    <row r="10" spans="1:5" ht="14.25" customHeight="1">
      <c r="A10" s="85">
        <v>1</v>
      </c>
      <c r="B10" s="95">
        <v>45901</v>
      </c>
      <c r="C10" s="11" t="s">
        <v>8</v>
      </c>
      <c r="D10" s="8">
        <v>2019000</v>
      </c>
      <c r="E10" s="12"/>
    </row>
    <row r="11" spans="1:5" ht="14.25" customHeight="1">
      <c r="A11" s="85"/>
      <c r="B11" s="95"/>
      <c r="C11" s="13" t="s">
        <v>14</v>
      </c>
      <c r="D11" s="7"/>
      <c r="E11" s="7"/>
    </row>
    <row r="12" spans="1:5" ht="14.25" customHeight="1">
      <c r="A12" s="85"/>
      <c r="B12" s="95"/>
      <c r="C12" s="13" t="s">
        <v>15</v>
      </c>
      <c r="D12" s="7"/>
      <c r="E12" s="7"/>
    </row>
    <row r="13" spans="1:5" ht="14.25" customHeight="1">
      <c r="A13" s="85"/>
      <c r="B13" s="95"/>
      <c r="C13" s="13" t="s">
        <v>9</v>
      </c>
      <c r="D13" s="7"/>
      <c r="E13" s="7"/>
    </row>
    <row r="14" spans="1:5" ht="14.25" customHeight="1">
      <c r="A14" s="85"/>
      <c r="B14" s="95"/>
      <c r="C14" s="13" t="s">
        <v>10</v>
      </c>
      <c r="D14" s="7"/>
      <c r="E14" s="7"/>
    </row>
    <row r="15" spans="1:5" ht="14.25" customHeight="1">
      <c r="A15" s="85"/>
      <c r="B15" s="95"/>
      <c r="C15" s="13" t="s">
        <v>16</v>
      </c>
      <c r="D15" s="7"/>
      <c r="E15" s="7"/>
    </row>
    <row r="16" spans="1:5" ht="14.25" customHeight="1">
      <c r="A16" s="85"/>
      <c r="B16" s="95"/>
      <c r="C16" s="13" t="s">
        <v>17</v>
      </c>
      <c r="D16" s="7"/>
      <c r="E16" s="7"/>
    </row>
    <row r="17" spans="1:5" ht="14.25" customHeight="1">
      <c r="A17" s="85"/>
      <c r="B17" s="95"/>
      <c r="C17" s="13" t="s">
        <v>11</v>
      </c>
      <c r="E17" s="7"/>
    </row>
    <row r="18" spans="1:5" ht="14.25" customHeight="1">
      <c r="A18" s="85"/>
      <c r="B18" s="95"/>
      <c r="C18" s="13" t="s">
        <v>18</v>
      </c>
      <c r="D18" s="9"/>
      <c r="E18" s="7"/>
    </row>
    <row r="19" spans="1:5" ht="14.25" customHeight="1">
      <c r="A19" s="85"/>
      <c r="B19" s="95"/>
      <c r="C19" s="13" t="s">
        <v>12</v>
      </c>
      <c r="D19" s="9"/>
      <c r="E19" s="7"/>
    </row>
    <row r="20" spans="1:5" ht="14.25" customHeight="1">
      <c r="A20" s="85"/>
      <c r="B20" s="95"/>
      <c r="C20" s="13" t="s">
        <v>21</v>
      </c>
      <c r="D20" s="9"/>
      <c r="E20" s="7"/>
    </row>
    <row r="21" spans="1:5" ht="14.25" customHeight="1">
      <c r="A21" s="85"/>
      <c r="B21" s="95"/>
      <c r="C21" s="13" t="s">
        <v>19</v>
      </c>
      <c r="D21" s="9"/>
      <c r="E21" s="10"/>
    </row>
    <row r="22" spans="1:5" ht="15" customHeight="1">
      <c r="A22" s="86"/>
      <c r="B22" s="96"/>
      <c r="C22" s="13" t="s">
        <v>20</v>
      </c>
      <c r="D22" s="7"/>
      <c r="E22" s="10"/>
    </row>
    <row r="23" spans="1:5" ht="15" customHeight="1">
      <c r="A23" s="84">
        <v>2</v>
      </c>
      <c r="B23" s="94">
        <v>45902</v>
      </c>
      <c r="C23" s="11" t="s">
        <v>8</v>
      </c>
      <c r="D23" s="8">
        <v>700000</v>
      </c>
      <c r="E23" s="10"/>
    </row>
    <row r="24" spans="1:5" ht="15" customHeight="1">
      <c r="A24" s="85"/>
      <c r="B24" s="95"/>
      <c r="C24" s="13" t="s">
        <v>24</v>
      </c>
      <c r="D24" s="7"/>
      <c r="E24" s="10"/>
    </row>
    <row r="25" spans="1:5" ht="15" customHeight="1">
      <c r="A25" s="85"/>
      <c r="B25" s="95"/>
      <c r="C25" s="13" t="s">
        <v>25</v>
      </c>
      <c r="D25" s="7"/>
      <c r="E25" s="10"/>
    </row>
    <row r="26" spans="1:5" ht="15" customHeight="1">
      <c r="A26" s="85"/>
      <c r="B26" s="95"/>
      <c r="C26" s="13" t="s">
        <v>26</v>
      </c>
      <c r="D26" s="7"/>
      <c r="E26" s="10"/>
    </row>
    <row r="27" spans="1:5" ht="15" customHeight="1">
      <c r="A27" s="85"/>
      <c r="B27" s="95"/>
      <c r="C27" s="13" t="s">
        <v>22</v>
      </c>
      <c r="D27" s="7"/>
      <c r="E27" s="10"/>
    </row>
    <row r="28" spans="1:5" ht="15" customHeight="1">
      <c r="A28" s="85"/>
      <c r="B28" s="95"/>
      <c r="C28" s="13" t="s">
        <v>27</v>
      </c>
      <c r="D28" s="7"/>
      <c r="E28" s="10"/>
    </row>
    <row r="29" spans="1:5" ht="15" customHeight="1">
      <c r="A29" s="85"/>
      <c r="B29" s="95"/>
      <c r="C29" s="13" t="s">
        <v>28</v>
      </c>
      <c r="D29" s="7"/>
      <c r="E29" s="10"/>
    </row>
    <row r="30" spans="1:5" ht="15" customHeight="1">
      <c r="A30" s="85"/>
      <c r="B30" s="95"/>
      <c r="C30" s="13" t="s">
        <v>23</v>
      </c>
      <c r="E30" s="10"/>
    </row>
    <row r="31" spans="1:5" ht="15" customHeight="1">
      <c r="A31" s="85"/>
      <c r="B31" s="95"/>
      <c r="C31" s="13" t="s">
        <v>29</v>
      </c>
      <c r="D31" s="9"/>
      <c r="E31" s="10"/>
    </row>
    <row r="32" spans="1:5" ht="15" customHeight="1">
      <c r="A32" s="85"/>
      <c r="B32" s="95"/>
      <c r="C32" s="13" t="s">
        <v>30</v>
      </c>
      <c r="D32" s="9"/>
      <c r="E32" s="10"/>
    </row>
    <row r="33" spans="1:5" ht="15" customHeight="1">
      <c r="A33" s="85"/>
      <c r="B33" s="96"/>
      <c r="C33" s="13" t="s">
        <v>31</v>
      </c>
      <c r="D33" s="9"/>
      <c r="E33" s="10"/>
    </row>
    <row r="34" spans="1:5" ht="15" customHeight="1">
      <c r="A34" s="84">
        <v>3</v>
      </c>
      <c r="B34" s="94">
        <v>45903</v>
      </c>
      <c r="C34" s="11" t="s">
        <v>8</v>
      </c>
      <c r="D34" s="8">
        <v>868000</v>
      </c>
      <c r="E34" s="12"/>
    </row>
    <row r="35" spans="1:5" ht="15" customHeight="1">
      <c r="A35" s="85"/>
      <c r="B35" s="95"/>
      <c r="C35" s="13" t="s">
        <v>32</v>
      </c>
      <c r="D35" s="7"/>
      <c r="E35" s="7"/>
    </row>
    <row r="36" spans="1:5" ht="15" customHeight="1">
      <c r="A36" s="85"/>
      <c r="B36" s="95"/>
      <c r="C36" s="13" t="s">
        <v>33</v>
      </c>
      <c r="D36" s="7"/>
      <c r="E36" s="7"/>
    </row>
    <row r="37" spans="1:5" ht="15" customHeight="1">
      <c r="A37" s="85"/>
      <c r="B37" s="95"/>
      <c r="C37" s="13" t="s">
        <v>34</v>
      </c>
      <c r="D37" s="7"/>
      <c r="E37" s="7"/>
    </row>
    <row r="38" spans="1:5" ht="15" customHeight="1">
      <c r="A38" s="85"/>
      <c r="B38" s="95"/>
      <c r="C38" s="13" t="s">
        <v>35</v>
      </c>
      <c r="D38" s="7"/>
      <c r="E38" s="7"/>
    </row>
    <row r="39" spans="1:5" ht="15" customHeight="1">
      <c r="A39" s="85"/>
      <c r="B39" s="95"/>
      <c r="C39" s="13" t="s">
        <v>27</v>
      </c>
      <c r="D39" s="7"/>
      <c r="E39" s="7"/>
    </row>
    <row r="40" spans="1:5" ht="15" customHeight="1">
      <c r="A40" s="85"/>
      <c r="B40" s="95"/>
      <c r="C40" s="13" t="s">
        <v>36</v>
      </c>
      <c r="D40" s="7"/>
      <c r="E40" s="7"/>
    </row>
    <row r="41" spans="1:5" ht="15" customHeight="1">
      <c r="A41" s="85"/>
      <c r="B41" s="95"/>
      <c r="C41" s="13" t="s">
        <v>37</v>
      </c>
      <c r="E41" s="7"/>
    </row>
    <row r="42" spans="1:5" ht="15" customHeight="1">
      <c r="A42" s="85"/>
      <c r="B42" s="95"/>
      <c r="C42" s="13" t="s">
        <v>9</v>
      </c>
      <c r="D42" s="9"/>
      <c r="E42" s="7"/>
    </row>
    <row r="43" spans="1:5" ht="15" customHeight="1">
      <c r="A43" s="85"/>
      <c r="B43" s="95"/>
      <c r="C43" s="13" t="s">
        <v>30</v>
      </c>
      <c r="D43" s="9"/>
      <c r="E43" s="7"/>
    </row>
    <row r="44" spans="1:5" ht="15" customHeight="1">
      <c r="A44" s="85"/>
      <c r="B44" s="95"/>
      <c r="C44" s="13" t="s">
        <v>38</v>
      </c>
      <c r="D44" s="9"/>
      <c r="E44" s="7"/>
    </row>
    <row r="45" spans="1:5" ht="15" customHeight="1">
      <c r="A45" s="85"/>
      <c r="B45" s="95"/>
      <c r="C45" s="13" t="s">
        <v>39</v>
      </c>
      <c r="D45" s="9"/>
      <c r="E45" s="7"/>
    </row>
    <row r="46" spans="1:5" ht="15" customHeight="1">
      <c r="A46" s="84">
        <v>4</v>
      </c>
      <c r="B46" s="94">
        <v>45904</v>
      </c>
      <c r="C46" s="11" t="s">
        <v>8</v>
      </c>
      <c r="D46" s="8">
        <v>377000</v>
      </c>
      <c r="E46" s="12"/>
    </row>
    <row r="47" spans="1:5" ht="15" customHeight="1">
      <c r="A47" s="85"/>
      <c r="B47" s="95"/>
      <c r="C47" s="13" t="s">
        <v>40</v>
      </c>
      <c r="D47" s="7"/>
      <c r="E47" s="7"/>
    </row>
    <row r="48" spans="1:5" ht="15" customHeight="1">
      <c r="A48" s="85"/>
      <c r="B48" s="95"/>
      <c r="C48" s="13" t="s">
        <v>41</v>
      </c>
      <c r="D48" s="7"/>
      <c r="E48" s="7"/>
    </row>
    <row r="49" spans="1:5" ht="15" customHeight="1">
      <c r="A49" s="85"/>
      <c r="B49" s="95"/>
      <c r="C49" s="13" t="s">
        <v>42</v>
      </c>
      <c r="D49" s="7"/>
      <c r="E49" s="7"/>
    </row>
    <row r="50" spans="1:5" ht="15" customHeight="1">
      <c r="A50" s="85"/>
      <c r="B50" s="95"/>
      <c r="C50" s="13" t="s">
        <v>43</v>
      </c>
      <c r="D50" s="7"/>
      <c r="E50" s="7"/>
    </row>
    <row r="51" spans="1:5" ht="15" customHeight="1">
      <c r="A51" s="85"/>
      <c r="B51" s="95"/>
      <c r="C51" s="13" t="s">
        <v>44</v>
      </c>
      <c r="D51" s="7"/>
      <c r="E51" s="7"/>
    </row>
    <row r="52" spans="1:5" ht="15" customHeight="1">
      <c r="A52" s="85"/>
      <c r="B52" s="95"/>
      <c r="C52" s="13" t="s">
        <v>45</v>
      </c>
      <c r="E52" s="7"/>
    </row>
    <row r="53" spans="1:5" ht="15" customHeight="1">
      <c r="A53" s="85"/>
      <c r="B53" s="95"/>
      <c r="C53" s="13" t="s">
        <v>46</v>
      </c>
      <c r="D53" s="9"/>
      <c r="E53" s="7"/>
    </row>
    <row r="54" spans="1:5" ht="15" customHeight="1">
      <c r="A54" s="85"/>
      <c r="B54" s="95"/>
      <c r="C54" s="13" t="s">
        <v>47</v>
      </c>
      <c r="D54" s="9"/>
      <c r="E54" s="7"/>
    </row>
    <row r="55" spans="1:5" ht="15" customHeight="1">
      <c r="A55" s="84">
        <v>5</v>
      </c>
      <c r="B55" s="94">
        <v>45908</v>
      </c>
      <c r="C55" s="11" t="s">
        <v>8</v>
      </c>
      <c r="D55" s="8">
        <v>699000</v>
      </c>
      <c r="E55" s="7"/>
    </row>
    <row r="56" spans="1:5" ht="15" customHeight="1">
      <c r="A56" s="85"/>
      <c r="B56" s="95"/>
      <c r="C56" s="13" t="s">
        <v>48</v>
      </c>
      <c r="D56" s="7"/>
      <c r="E56" s="7"/>
    </row>
    <row r="57" spans="1:5" ht="15" customHeight="1">
      <c r="A57" s="85"/>
      <c r="B57" s="95"/>
      <c r="C57" s="13" t="s">
        <v>30</v>
      </c>
      <c r="D57" s="7"/>
      <c r="E57" s="7"/>
    </row>
    <row r="58" spans="1:5" ht="15" customHeight="1">
      <c r="A58" s="85"/>
      <c r="B58" s="95"/>
      <c r="C58" s="13" t="s">
        <v>42</v>
      </c>
      <c r="D58" s="7"/>
      <c r="E58" s="7"/>
    </row>
    <row r="59" spans="1:5" ht="15" customHeight="1">
      <c r="A59" s="85"/>
      <c r="B59" s="95"/>
      <c r="C59" s="13" t="s">
        <v>50</v>
      </c>
      <c r="D59" s="7"/>
      <c r="E59" s="7"/>
    </row>
    <row r="60" spans="1:5" ht="15" customHeight="1">
      <c r="A60" s="85"/>
      <c r="B60" s="95"/>
      <c r="C60" s="13" t="s">
        <v>36</v>
      </c>
      <c r="D60" s="7"/>
      <c r="E60" s="7"/>
    </row>
    <row r="61" spans="1:5" ht="15" customHeight="1">
      <c r="A61" s="85"/>
      <c r="B61" s="95"/>
      <c r="C61" s="13" t="s">
        <v>51</v>
      </c>
      <c r="E61" s="7"/>
    </row>
    <row r="62" spans="1:5" ht="15" customHeight="1">
      <c r="A62" s="85"/>
      <c r="B62" s="95"/>
      <c r="C62" s="13" t="s">
        <v>52</v>
      </c>
      <c r="D62" s="9"/>
      <c r="E62" s="7"/>
    </row>
    <row r="63" spans="1:5" ht="15" customHeight="1">
      <c r="A63" s="85"/>
      <c r="B63" s="95"/>
      <c r="C63" s="13" t="s">
        <v>53</v>
      </c>
      <c r="D63" s="9"/>
      <c r="E63" s="7"/>
    </row>
    <row r="64" spans="1:5" ht="15" customHeight="1">
      <c r="A64" s="85"/>
      <c r="B64" s="95"/>
      <c r="C64" s="13" t="s">
        <v>33</v>
      </c>
      <c r="D64" s="9"/>
      <c r="E64" s="7"/>
    </row>
    <row r="65" spans="1:5" ht="15" customHeight="1">
      <c r="A65" s="85"/>
      <c r="B65" s="95"/>
      <c r="C65" s="13" t="s">
        <v>54</v>
      </c>
      <c r="D65" s="9"/>
      <c r="E65" s="7"/>
    </row>
    <row r="66" spans="1:5" ht="15" customHeight="1">
      <c r="A66" s="85"/>
      <c r="B66" s="95"/>
      <c r="C66" s="13" t="s">
        <v>49</v>
      </c>
      <c r="D66" s="9"/>
      <c r="E66" s="7"/>
    </row>
    <row r="67" spans="1:5" ht="15" customHeight="1">
      <c r="A67" s="84">
        <v>6</v>
      </c>
      <c r="B67" s="94">
        <v>45909</v>
      </c>
      <c r="C67" s="11" t="s">
        <v>8</v>
      </c>
      <c r="D67" s="8">
        <v>926000</v>
      </c>
      <c r="E67" s="12"/>
    </row>
    <row r="68" spans="1:5" ht="15" customHeight="1">
      <c r="A68" s="85"/>
      <c r="B68" s="95"/>
      <c r="C68" s="13" t="s">
        <v>55</v>
      </c>
      <c r="D68" s="7"/>
      <c r="E68" s="7"/>
    </row>
    <row r="69" spans="1:5" ht="15" customHeight="1">
      <c r="A69" s="85"/>
      <c r="B69" s="95"/>
      <c r="C69" s="13" t="s">
        <v>56</v>
      </c>
      <c r="D69" s="7"/>
      <c r="E69" s="7"/>
    </row>
    <row r="70" spans="1:5" ht="15" customHeight="1">
      <c r="A70" s="85"/>
      <c r="B70" s="95"/>
      <c r="C70" s="13" t="s">
        <v>57</v>
      </c>
      <c r="D70" s="7"/>
      <c r="E70" s="7"/>
    </row>
    <row r="71" spans="1:5" ht="15" customHeight="1">
      <c r="A71" s="85"/>
      <c r="B71" s="95"/>
      <c r="C71" s="13" t="s">
        <v>58</v>
      </c>
      <c r="D71" s="7"/>
      <c r="E71" s="7"/>
    </row>
    <row r="72" spans="1:5" ht="15" customHeight="1">
      <c r="A72" s="85"/>
      <c r="B72" s="95"/>
      <c r="C72" s="13" t="s">
        <v>59</v>
      </c>
      <c r="D72" s="9"/>
      <c r="E72" s="7"/>
    </row>
    <row r="73" spans="1:5" ht="15" customHeight="1">
      <c r="A73" s="85"/>
      <c r="B73" s="95"/>
      <c r="C73" s="13" t="s">
        <v>60</v>
      </c>
      <c r="D73" s="9"/>
      <c r="E73" s="7"/>
    </row>
    <row r="74" spans="1:5" ht="15" customHeight="1">
      <c r="A74" s="85"/>
      <c r="B74" s="95"/>
      <c r="C74" s="13" t="s">
        <v>33</v>
      </c>
      <c r="D74" s="9"/>
      <c r="E74" s="7"/>
    </row>
    <row r="75" spans="1:5" ht="15" customHeight="1">
      <c r="A75" s="85"/>
      <c r="B75" s="95"/>
      <c r="C75" s="13" t="s">
        <v>61</v>
      </c>
      <c r="D75" s="9"/>
      <c r="E75" s="7"/>
    </row>
    <row r="76" spans="1:5" ht="15" customHeight="1">
      <c r="A76" s="85"/>
      <c r="B76" s="95"/>
      <c r="C76" s="13" t="s">
        <v>62</v>
      </c>
      <c r="D76" s="9"/>
      <c r="E76" s="7"/>
    </row>
    <row r="77" spans="1:5" ht="15" customHeight="1">
      <c r="A77" s="85"/>
      <c r="B77" s="95"/>
      <c r="C77" s="13" t="s">
        <v>63</v>
      </c>
      <c r="D77" s="9"/>
      <c r="E77" s="7"/>
    </row>
    <row r="78" spans="1:5" ht="15" customHeight="1">
      <c r="A78" s="86"/>
      <c r="B78" s="96"/>
      <c r="C78" s="13" t="s">
        <v>64</v>
      </c>
      <c r="D78" s="9"/>
      <c r="E78" s="7"/>
    </row>
    <row r="79" spans="1:5" ht="15" customHeight="1">
      <c r="A79" s="84">
        <v>7</v>
      </c>
      <c r="B79" s="94">
        <v>45910</v>
      </c>
      <c r="C79" s="11" t="s">
        <v>8</v>
      </c>
      <c r="D79" s="8">
        <v>532000</v>
      </c>
      <c r="E79" s="7"/>
    </row>
    <row r="80" spans="1:5" ht="15" customHeight="1">
      <c r="A80" s="85"/>
      <c r="B80" s="95"/>
      <c r="C80" s="13" t="s">
        <v>65</v>
      </c>
      <c r="D80" s="7"/>
      <c r="E80" s="7"/>
    </row>
    <row r="81" spans="1:5" ht="15" customHeight="1">
      <c r="A81" s="85"/>
      <c r="B81" s="95"/>
      <c r="C81" s="13" t="s">
        <v>66</v>
      </c>
      <c r="D81" s="7"/>
      <c r="E81" s="7"/>
    </row>
    <row r="82" spans="1:5" ht="15" customHeight="1">
      <c r="A82" s="85"/>
      <c r="B82" s="95"/>
      <c r="C82" s="13" t="s">
        <v>67</v>
      </c>
      <c r="D82" s="7"/>
      <c r="E82" s="7"/>
    </row>
    <row r="83" spans="1:5" ht="15" customHeight="1">
      <c r="A83" s="85"/>
      <c r="B83" s="95"/>
      <c r="C83" s="13" t="s">
        <v>68</v>
      </c>
      <c r="D83" s="7"/>
      <c r="E83" s="7"/>
    </row>
    <row r="84" spans="1:5" ht="15" customHeight="1">
      <c r="A84" s="85"/>
      <c r="B84" s="95"/>
      <c r="C84" s="13" t="s">
        <v>69</v>
      </c>
      <c r="E84" s="7"/>
    </row>
    <row r="85" spans="1:5" ht="15" customHeight="1">
      <c r="A85" s="85"/>
      <c r="B85" s="95"/>
      <c r="C85" s="13" t="s">
        <v>70</v>
      </c>
      <c r="D85" s="9"/>
      <c r="E85" s="7"/>
    </row>
    <row r="86" spans="1:5" ht="15" customHeight="1">
      <c r="A86" s="85"/>
      <c r="B86" s="95"/>
      <c r="C86" s="13" t="s">
        <v>71</v>
      </c>
      <c r="D86" s="9"/>
      <c r="E86" s="7"/>
    </row>
    <row r="87" spans="1:5" ht="15" customHeight="1">
      <c r="A87" s="85"/>
      <c r="B87" s="95"/>
      <c r="C87" s="13" t="s">
        <v>72</v>
      </c>
      <c r="D87" s="9"/>
      <c r="E87" s="7"/>
    </row>
    <row r="88" spans="1:5" ht="15" customHeight="1">
      <c r="A88" s="85"/>
      <c r="B88" s="95"/>
      <c r="C88" s="13" t="s">
        <v>73</v>
      </c>
      <c r="D88" s="9"/>
      <c r="E88" s="7"/>
    </row>
    <row r="89" spans="1:5" ht="15" customHeight="1">
      <c r="A89" s="85"/>
      <c r="B89" s="95"/>
      <c r="C89" s="13" t="s">
        <v>74</v>
      </c>
      <c r="D89" s="9"/>
      <c r="E89" s="7"/>
    </row>
    <row r="90" spans="1:5" ht="15" customHeight="1">
      <c r="A90" s="85"/>
      <c r="B90" s="95"/>
      <c r="C90" s="13" t="s">
        <v>75</v>
      </c>
      <c r="D90" s="9"/>
      <c r="E90" s="7"/>
    </row>
    <row r="91" spans="1:5" ht="15" customHeight="1">
      <c r="A91" s="86"/>
      <c r="B91" s="96"/>
      <c r="C91" s="13" t="s">
        <v>76</v>
      </c>
      <c r="D91" s="9"/>
      <c r="E91" s="7"/>
    </row>
    <row r="92" spans="1:5" ht="15" customHeight="1">
      <c r="A92" s="84">
        <v>8</v>
      </c>
      <c r="B92" s="94">
        <v>45911</v>
      </c>
      <c r="C92" s="11" t="s">
        <v>8</v>
      </c>
      <c r="D92" s="8">
        <v>780000</v>
      </c>
      <c r="E92" s="12"/>
    </row>
    <row r="93" spans="1:5" ht="15" customHeight="1">
      <c r="A93" s="85"/>
      <c r="B93" s="95"/>
      <c r="C93" s="13" t="s">
        <v>82</v>
      </c>
      <c r="D93" s="7"/>
      <c r="E93" s="7"/>
    </row>
    <row r="94" spans="1:5" ht="15" customHeight="1">
      <c r="A94" s="85"/>
      <c r="B94" s="95"/>
      <c r="C94" s="13" t="s">
        <v>66</v>
      </c>
      <c r="D94" s="7"/>
      <c r="E94" s="7"/>
    </row>
    <row r="95" spans="1:5" ht="15" customHeight="1">
      <c r="A95" s="85"/>
      <c r="B95" s="95"/>
      <c r="C95" s="13" t="s">
        <v>27</v>
      </c>
      <c r="D95" s="7"/>
      <c r="E95" s="7"/>
    </row>
    <row r="96" spans="1:5" ht="15" customHeight="1">
      <c r="A96" s="85"/>
      <c r="B96" s="95"/>
      <c r="C96" s="13" t="s">
        <v>68</v>
      </c>
      <c r="D96" s="7"/>
      <c r="E96" s="7"/>
    </row>
    <row r="97" spans="1:5" ht="15" customHeight="1">
      <c r="A97" s="85"/>
      <c r="B97" s="95"/>
      <c r="C97" s="13" t="s">
        <v>59</v>
      </c>
      <c r="E97" s="7"/>
    </row>
    <row r="98" spans="1:5" ht="15" customHeight="1">
      <c r="A98" s="85"/>
      <c r="B98" s="95"/>
      <c r="C98" s="13" t="s">
        <v>77</v>
      </c>
      <c r="D98" s="9"/>
      <c r="E98" s="7"/>
    </row>
    <row r="99" spans="1:5" ht="15" customHeight="1">
      <c r="A99" s="85"/>
      <c r="B99" s="95"/>
      <c r="C99" s="13" t="s">
        <v>78</v>
      </c>
      <c r="D99" s="9"/>
      <c r="E99" s="7"/>
    </row>
    <row r="100" spans="1:5" ht="15" customHeight="1">
      <c r="A100" s="85"/>
      <c r="B100" s="95"/>
      <c r="C100" s="13" t="s">
        <v>61</v>
      </c>
      <c r="D100" s="9"/>
      <c r="E100" s="7"/>
    </row>
    <row r="101" spans="1:5" ht="15" customHeight="1">
      <c r="A101" s="85"/>
      <c r="B101" s="95"/>
      <c r="C101" s="13" t="s">
        <v>79</v>
      </c>
      <c r="D101" s="9"/>
      <c r="E101" s="7"/>
    </row>
    <row r="102" spans="1:5" ht="15" customHeight="1">
      <c r="A102" s="85"/>
      <c r="B102" s="95"/>
      <c r="C102" s="13" t="s">
        <v>80</v>
      </c>
      <c r="D102" s="9"/>
      <c r="E102" s="7"/>
    </row>
    <row r="103" spans="1:5" ht="15" customHeight="1">
      <c r="A103" s="86"/>
      <c r="B103" s="96"/>
      <c r="C103" s="13" t="s">
        <v>81</v>
      </c>
      <c r="D103" s="9"/>
      <c r="E103" s="7"/>
    </row>
    <row r="104" spans="1:5" ht="15" customHeight="1">
      <c r="A104" s="84">
        <v>9</v>
      </c>
      <c r="B104" s="94">
        <v>45912</v>
      </c>
      <c r="C104" s="11" t="s">
        <v>8</v>
      </c>
      <c r="D104" s="8">
        <v>2710000</v>
      </c>
      <c r="E104" s="12"/>
    </row>
    <row r="105" spans="1:5" ht="15" customHeight="1">
      <c r="A105" s="85"/>
      <c r="B105" s="95"/>
      <c r="C105" s="13" t="s">
        <v>83</v>
      </c>
      <c r="D105" s="7"/>
      <c r="E105" s="7"/>
    </row>
    <row r="106" spans="1:5" ht="15" customHeight="1">
      <c r="A106" s="85"/>
      <c r="B106" s="95"/>
      <c r="C106" s="13" t="s">
        <v>84</v>
      </c>
      <c r="D106" s="7"/>
      <c r="E106" s="7"/>
    </row>
    <row r="107" spans="1:5" ht="15" customHeight="1">
      <c r="A107" s="85"/>
      <c r="B107" s="95"/>
      <c r="C107" s="13" t="s">
        <v>85</v>
      </c>
      <c r="D107" s="7"/>
      <c r="E107" s="7"/>
    </row>
    <row r="108" spans="1:5" ht="15" customHeight="1">
      <c r="A108" s="85"/>
      <c r="B108" s="95"/>
      <c r="C108" s="13" t="s">
        <v>86</v>
      </c>
      <c r="D108" s="7"/>
      <c r="E108" s="7"/>
    </row>
    <row r="109" spans="1:5" ht="15" customHeight="1">
      <c r="A109" s="85"/>
      <c r="B109" s="95"/>
      <c r="C109" s="13" t="s">
        <v>87</v>
      </c>
      <c r="E109" s="7"/>
    </row>
    <row r="110" spans="1:5" ht="15" customHeight="1">
      <c r="A110" s="85"/>
      <c r="B110" s="95"/>
      <c r="C110" s="13" t="s">
        <v>88</v>
      </c>
      <c r="D110" s="9"/>
      <c r="E110" s="7"/>
    </row>
    <row r="111" spans="1:5" ht="15" customHeight="1">
      <c r="A111" s="85"/>
      <c r="B111" s="95"/>
      <c r="C111" s="13" t="s">
        <v>89</v>
      </c>
      <c r="D111" s="9"/>
      <c r="E111" s="7"/>
    </row>
    <row r="112" spans="1:5" ht="15" customHeight="1">
      <c r="A112" s="85"/>
      <c r="B112" s="95"/>
      <c r="C112" s="13" t="s">
        <v>90</v>
      </c>
      <c r="D112" s="9"/>
      <c r="E112" s="7"/>
    </row>
    <row r="113" spans="1:5" ht="15" customHeight="1">
      <c r="A113" s="85"/>
      <c r="B113" s="95"/>
      <c r="C113" s="13" t="s">
        <v>91</v>
      </c>
      <c r="D113" s="9"/>
      <c r="E113" s="7"/>
    </row>
    <row r="114" spans="1:5" ht="15" customHeight="1">
      <c r="A114" s="85"/>
      <c r="B114" s="95"/>
      <c r="C114" s="13" t="s">
        <v>92</v>
      </c>
      <c r="D114" s="9"/>
      <c r="E114" s="7"/>
    </row>
    <row r="115" spans="1:5" ht="15" customHeight="1">
      <c r="A115" s="85"/>
      <c r="B115" s="95"/>
      <c r="C115" s="13" t="s">
        <v>93</v>
      </c>
      <c r="D115" s="7"/>
      <c r="E115" s="10"/>
    </row>
    <row r="116" spans="1:5" ht="15" customHeight="1">
      <c r="A116" s="84">
        <v>10</v>
      </c>
      <c r="B116" s="94">
        <v>45913</v>
      </c>
      <c r="C116" s="11" t="s">
        <v>8</v>
      </c>
      <c r="D116" s="8">
        <v>950000</v>
      </c>
      <c r="E116" s="10"/>
    </row>
    <row r="117" spans="1:5" ht="15" customHeight="1">
      <c r="A117" s="85"/>
      <c r="B117" s="95"/>
      <c r="C117" s="13" t="s">
        <v>98</v>
      </c>
      <c r="D117" s="7"/>
      <c r="E117" s="10"/>
    </row>
    <row r="118" spans="1:5" ht="15" customHeight="1">
      <c r="A118" s="85"/>
      <c r="B118" s="95"/>
      <c r="C118" s="13" t="s">
        <v>94</v>
      </c>
      <c r="D118" s="7"/>
      <c r="E118" s="10"/>
    </row>
    <row r="119" spans="1:5" ht="15" customHeight="1">
      <c r="A119" s="85"/>
      <c r="B119" s="95"/>
      <c r="C119" s="13" t="s">
        <v>95</v>
      </c>
      <c r="D119" s="7"/>
      <c r="E119" s="10"/>
    </row>
    <row r="120" spans="1:5" ht="15" customHeight="1">
      <c r="A120" s="85"/>
      <c r="B120" s="95"/>
      <c r="C120" s="13" t="s">
        <v>97</v>
      </c>
      <c r="D120" s="7"/>
      <c r="E120" s="10"/>
    </row>
    <row r="121" spans="1:5" ht="15" customHeight="1">
      <c r="A121" s="85"/>
      <c r="B121" s="95"/>
      <c r="C121" s="13" t="s">
        <v>99</v>
      </c>
      <c r="E121" s="10"/>
    </row>
    <row r="122" spans="1:5" ht="15" customHeight="1">
      <c r="A122" s="85"/>
      <c r="B122" s="95"/>
      <c r="C122" s="13" t="s">
        <v>96</v>
      </c>
      <c r="D122" s="9"/>
      <c r="E122" s="10"/>
    </row>
    <row r="123" spans="1:5" ht="15" customHeight="1">
      <c r="A123" s="84">
        <v>11</v>
      </c>
      <c r="B123" s="94">
        <v>45914</v>
      </c>
      <c r="C123" s="11" t="s">
        <v>8</v>
      </c>
      <c r="D123" s="8">
        <v>520000</v>
      </c>
      <c r="E123" s="12"/>
    </row>
    <row r="124" spans="1:5" ht="15" customHeight="1">
      <c r="A124" s="85"/>
      <c r="B124" s="95"/>
      <c r="C124" s="13" t="s">
        <v>100</v>
      </c>
      <c r="D124" s="7"/>
      <c r="E124" s="7"/>
    </row>
    <row r="125" spans="1:5" ht="15" customHeight="1">
      <c r="A125" s="85"/>
      <c r="B125" s="95"/>
      <c r="C125" s="13" t="s">
        <v>95</v>
      </c>
      <c r="D125" s="7"/>
      <c r="E125" s="7"/>
    </row>
    <row r="126" spans="1:5" ht="15" customHeight="1">
      <c r="A126" s="85"/>
      <c r="B126" s="95"/>
      <c r="C126" s="13" t="s">
        <v>101</v>
      </c>
      <c r="D126" s="7"/>
      <c r="E126" s="7"/>
    </row>
    <row r="127" spans="1:5" ht="15" customHeight="1">
      <c r="A127" s="86"/>
      <c r="B127" s="96"/>
      <c r="C127" s="13" t="s">
        <v>12</v>
      </c>
      <c r="E127" s="7"/>
    </row>
    <row r="128" spans="1:5" ht="15" customHeight="1">
      <c r="A128" s="84">
        <v>12</v>
      </c>
      <c r="B128" s="87">
        <v>45915</v>
      </c>
      <c r="C128" s="19" t="s">
        <v>106</v>
      </c>
      <c r="D128" s="21"/>
      <c r="E128" s="22">
        <v>9197000</v>
      </c>
    </row>
    <row r="129" spans="1:5" ht="15" customHeight="1">
      <c r="A129" s="85"/>
      <c r="B129" s="88"/>
      <c r="C129" s="20" t="s">
        <v>130</v>
      </c>
      <c r="D129" s="23"/>
      <c r="E129" s="23"/>
    </row>
    <row r="130" spans="1:5" ht="15" customHeight="1">
      <c r="A130" s="85"/>
      <c r="B130" s="88"/>
      <c r="C130" s="20" t="s">
        <v>107</v>
      </c>
      <c r="D130" s="23"/>
      <c r="E130" s="23"/>
    </row>
    <row r="131" spans="1:5" ht="15" customHeight="1">
      <c r="A131" s="85"/>
      <c r="B131" s="88"/>
      <c r="C131" s="20" t="s">
        <v>131</v>
      </c>
      <c r="D131" s="23"/>
      <c r="E131" s="23"/>
    </row>
    <row r="132" spans="1:5" ht="15" customHeight="1">
      <c r="A132" s="85"/>
      <c r="B132" s="88"/>
      <c r="C132" s="11" t="s">
        <v>8</v>
      </c>
      <c r="D132" s="8">
        <v>239000</v>
      </c>
      <c r="E132" s="7"/>
    </row>
    <row r="133" spans="1:5" ht="15" customHeight="1">
      <c r="A133" s="85"/>
      <c r="B133" s="88"/>
      <c r="C133" s="13" t="s">
        <v>102</v>
      </c>
      <c r="D133" s="7"/>
      <c r="E133" s="7"/>
    </row>
    <row r="134" spans="1:5" ht="15" customHeight="1">
      <c r="A134" s="85"/>
      <c r="B134" s="88"/>
      <c r="C134" s="13" t="s">
        <v>57</v>
      </c>
      <c r="D134" s="7"/>
      <c r="E134" s="7"/>
    </row>
    <row r="135" spans="1:5" ht="15" customHeight="1">
      <c r="A135" s="85"/>
      <c r="B135" s="88"/>
      <c r="C135" s="13" t="s">
        <v>103</v>
      </c>
      <c r="D135" s="7"/>
      <c r="E135" s="7"/>
    </row>
    <row r="136" spans="1:5" ht="15" customHeight="1">
      <c r="A136" s="85"/>
      <c r="B136" s="88"/>
      <c r="C136" s="13" t="s">
        <v>105</v>
      </c>
      <c r="D136" s="9"/>
      <c r="E136" s="7"/>
    </row>
    <row r="137" spans="1:5" ht="15" customHeight="1">
      <c r="A137" s="86"/>
      <c r="B137" s="89"/>
      <c r="C137" s="13" t="s">
        <v>104</v>
      </c>
      <c r="D137" s="9"/>
      <c r="E137" s="7"/>
    </row>
    <row r="138" spans="1:5" ht="15" customHeight="1">
      <c r="A138" s="84">
        <v>13</v>
      </c>
      <c r="B138" s="94">
        <v>45916</v>
      </c>
      <c r="C138" s="11" t="s">
        <v>8</v>
      </c>
      <c r="D138" s="8">
        <v>1011000</v>
      </c>
      <c r="E138" s="12"/>
    </row>
    <row r="139" spans="1:5" ht="15" customHeight="1">
      <c r="A139" s="85"/>
      <c r="B139" s="95"/>
      <c r="C139" s="13" t="s">
        <v>109</v>
      </c>
      <c r="D139" s="7"/>
      <c r="E139" s="7"/>
    </row>
    <row r="140" spans="1:5" ht="15" customHeight="1">
      <c r="A140" s="85"/>
      <c r="B140" s="95"/>
      <c r="C140" s="13" t="s">
        <v>110</v>
      </c>
      <c r="D140" s="7"/>
      <c r="E140" s="7"/>
    </row>
    <row r="141" spans="1:5" ht="15" customHeight="1">
      <c r="A141" s="85"/>
      <c r="B141" s="95"/>
      <c r="C141" s="13" t="s">
        <v>112</v>
      </c>
      <c r="D141" s="7"/>
      <c r="E141" s="7"/>
    </row>
    <row r="142" spans="1:5" ht="15" customHeight="1">
      <c r="A142" s="85"/>
      <c r="B142" s="95"/>
      <c r="C142" s="13" t="s">
        <v>111</v>
      </c>
      <c r="D142" s="9"/>
      <c r="E142" s="7"/>
    </row>
    <row r="143" spans="1:5" ht="15" customHeight="1">
      <c r="A143" s="85"/>
      <c r="B143" s="95"/>
      <c r="C143" s="13" t="s">
        <v>113</v>
      </c>
      <c r="D143" s="9"/>
      <c r="E143" s="7"/>
    </row>
    <row r="144" spans="1:5" ht="15" customHeight="1">
      <c r="A144" s="85"/>
      <c r="B144" s="95"/>
      <c r="C144" s="13" t="s">
        <v>115</v>
      </c>
      <c r="D144" s="9"/>
      <c r="E144" s="7"/>
    </row>
    <row r="145" spans="1:5" ht="15" customHeight="1">
      <c r="A145" s="85"/>
      <c r="B145" s="95"/>
      <c r="C145" s="13" t="s">
        <v>114</v>
      </c>
      <c r="D145" s="9"/>
      <c r="E145" s="7"/>
    </row>
    <row r="146" spans="1:5" ht="15" customHeight="1">
      <c r="A146" s="85"/>
      <c r="B146" s="95"/>
      <c r="C146" s="13" t="s">
        <v>116</v>
      </c>
      <c r="D146" s="9"/>
      <c r="E146" s="7"/>
    </row>
    <row r="147" spans="1:5" ht="15" customHeight="1">
      <c r="A147" s="85"/>
      <c r="B147" s="95"/>
      <c r="C147" s="13" t="s">
        <v>108</v>
      </c>
      <c r="D147" s="9"/>
      <c r="E147" s="7"/>
    </row>
    <row r="148" spans="1:5" ht="15" customHeight="1">
      <c r="A148" s="85"/>
      <c r="B148" s="95"/>
      <c r="C148" s="13" t="s">
        <v>117</v>
      </c>
      <c r="D148" s="9"/>
      <c r="E148" s="7"/>
    </row>
    <row r="149" spans="1:5" ht="15" customHeight="1">
      <c r="A149" s="85"/>
      <c r="B149" s="95"/>
      <c r="C149" s="13" t="s">
        <v>119</v>
      </c>
      <c r="D149" s="9"/>
      <c r="E149" s="7"/>
    </row>
    <row r="150" spans="1:5" ht="15" customHeight="1">
      <c r="A150" s="86"/>
      <c r="B150" s="96"/>
      <c r="C150" s="13" t="s">
        <v>118</v>
      </c>
      <c r="D150" s="9"/>
      <c r="E150" s="7"/>
    </row>
    <row r="151" spans="1:5" ht="15" customHeight="1">
      <c r="A151" s="84">
        <v>14</v>
      </c>
      <c r="B151" s="94">
        <v>45917</v>
      </c>
      <c r="C151" s="11" t="s">
        <v>8</v>
      </c>
      <c r="D151" s="8">
        <v>669000</v>
      </c>
      <c r="E151" s="7"/>
    </row>
    <row r="152" spans="1:5" ht="15" customHeight="1">
      <c r="A152" s="85"/>
      <c r="B152" s="95"/>
      <c r="C152" s="13" t="s">
        <v>109</v>
      </c>
      <c r="D152" s="7"/>
      <c r="E152" s="7"/>
    </row>
    <row r="153" spans="1:5" ht="15" customHeight="1">
      <c r="A153" s="85"/>
      <c r="B153" s="95"/>
      <c r="C153" s="13" t="s">
        <v>120</v>
      </c>
      <c r="D153" s="7"/>
      <c r="E153" s="7"/>
    </row>
    <row r="154" spans="1:5" ht="15" customHeight="1">
      <c r="A154" s="85"/>
      <c r="B154" s="95"/>
      <c r="C154" s="13" t="s">
        <v>121</v>
      </c>
      <c r="D154" s="9"/>
      <c r="E154" s="7"/>
    </row>
    <row r="155" spans="1:5" ht="15" customHeight="1">
      <c r="A155" s="85"/>
      <c r="B155" s="95"/>
      <c r="C155" s="13" t="s">
        <v>122</v>
      </c>
      <c r="D155" s="9"/>
      <c r="E155" s="7"/>
    </row>
    <row r="156" spans="1:5" ht="15" customHeight="1">
      <c r="A156" s="85"/>
      <c r="B156" s="95"/>
      <c r="C156" s="13" t="s">
        <v>123</v>
      </c>
      <c r="D156" s="9"/>
      <c r="E156" s="7"/>
    </row>
    <row r="157" spans="1:5" ht="15" customHeight="1">
      <c r="A157" s="85"/>
      <c r="B157" s="95"/>
      <c r="C157" s="13" t="s">
        <v>124</v>
      </c>
      <c r="D157" s="9"/>
      <c r="E157" s="7"/>
    </row>
    <row r="158" spans="1:5" ht="15" customHeight="1">
      <c r="A158" s="85"/>
      <c r="B158" s="95"/>
      <c r="C158" s="13" t="s">
        <v>125</v>
      </c>
      <c r="D158" s="9"/>
      <c r="E158" s="7"/>
    </row>
    <row r="159" spans="1:5" ht="15" customHeight="1">
      <c r="A159" s="85"/>
      <c r="B159" s="95"/>
      <c r="C159" s="13" t="s">
        <v>129</v>
      </c>
      <c r="D159" s="9"/>
      <c r="E159" s="7"/>
    </row>
    <row r="160" spans="1:5" ht="15" customHeight="1">
      <c r="A160" s="85"/>
      <c r="B160" s="95"/>
      <c r="C160" s="13" t="s">
        <v>126</v>
      </c>
      <c r="D160" s="9"/>
      <c r="E160" s="7"/>
    </row>
    <row r="161" spans="1:5" ht="15" customHeight="1">
      <c r="A161" s="85"/>
      <c r="B161" s="95"/>
      <c r="C161" s="13" t="s">
        <v>127</v>
      </c>
      <c r="D161" s="9"/>
      <c r="E161" s="7"/>
    </row>
    <row r="162" spans="1:5" ht="15" customHeight="1">
      <c r="A162" s="86"/>
      <c r="B162" s="96"/>
      <c r="C162" s="13" t="s">
        <v>128</v>
      </c>
      <c r="D162" s="9"/>
      <c r="E162" s="7"/>
    </row>
    <row r="163" spans="1:5" ht="15" customHeight="1">
      <c r="A163" s="84">
        <v>15</v>
      </c>
      <c r="B163" s="94">
        <v>45918</v>
      </c>
      <c r="C163" s="11" t="s">
        <v>8</v>
      </c>
      <c r="D163" s="8">
        <v>709000</v>
      </c>
      <c r="E163" s="7"/>
    </row>
    <row r="164" spans="1:5" ht="15" customHeight="1">
      <c r="A164" s="85"/>
      <c r="B164" s="95"/>
      <c r="C164" s="13" t="s">
        <v>133</v>
      </c>
      <c r="D164" s="7"/>
      <c r="E164" s="7"/>
    </row>
    <row r="165" spans="1:5" ht="15" customHeight="1">
      <c r="A165" s="85"/>
      <c r="B165" s="95"/>
      <c r="C165" s="13" t="s">
        <v>134</v>
      </c>
      <c r="D165" s="9"/>
      <c r="E165" s="7"/>
    </row>
    <row r="166" spans="1:5" ht="15" customHeight="1">
      <c r="A166" s="85"/>
      <c r="B166" s="95"/>
      <c r="C166" s="13" t="s">
        <v>135</v>
      </c>
      <c r="D166" s="9"/>
      <c r="E166" s="7"/>
    </row>
    <row r="167" spans="1:5" ht="15" customHeight="1">
      <c r="A167" s="85"/>
      <c r="B167" s="95"/>
      <c r="C167" s="13" t="s">
        <v>136</v>
      </c>
      <c r="D167" s="9" t="s">
        <v>132</v>
      </c>
      <c r="E167" s="7"/>
    </row>
    <row r="168" spans="1:5" ht="15" customHeight="1">
      <c r="A168" s="85"/>
      <c r="B168" s="95"/>
      <c r="C168" s="13" t="s">
        <v>137</v>
      </c>
      <c r="D168" s="9"/>
      <c r="E168" s="7"/>
    </row>
    <row r="169" spans="1:5" ht="15" customHeight="1">
      <c r="A169" s="85"/>
      <c r="B169" s="95"/>
      <c r="C169" s="13" t="s">
        <v>138</v>
      </c>
      <c r="D169" s="9"/>
      <c r="E169" s="7"/>
    </row>
    <row r="170" spans="1:5" ht="15" customHeight="1">
      <c r="A170" s="85"/>
      <c r="B170" s="95"/>
      <c r="C170" s="13" t="s">
        <v>139</v>
      </c>
      <c r="D170" s="9"/>
      <c r="E170" s="7"/>
    </row>
    <row r="171" spans="1:5" ht="15" customHeight="1">
      <c r="A171" s="85"/>
      <c r="B171" s="95"/>
      <c r="C171" s="13" t="s">
        <v>117</v>
      </c>
      <c r="D171" s="9"/>
      <c r="E171" s="7"/>
    </row>
    <row r="172" spans="1:5" ht="15" customHeight="1">
      <c r="A172" s="85"/>
      <c r="B172" s="95"/>
      <c r="C172" s="13" t="s">
        <v>140</v>
      </c>
      <c r="D172" s="9"/>
      <c r="E172" s="7"/>
    </row>
    <row r="173" spans="1:5" ht="15" customHeight="1">
      <c r="A173" s="85"/>
      <c r="B173" s="95"/>
      <c r="C173" s="13" t="s">
        <v>25</v>
      </c>
      <c r="D173" s="9"/>
      <c r="E173" s="7"/>
    </row>
    <row r="174" spans="1:5" ht="15" customHeight="1">
      <c r="A174" s="86"/>
      <c r="B174" s="96"/>
      <c r="C174" s="13" t="s">
        <v>141</v>
      </c>
      <c r="D174" s="9"/>
      <c r="E174" s="7"/>
    </row>
    <row r="175" spans="1:5" ht="15" customHeight="1">
      <c r="A175" s="84">
        <v>16</v>
      </c>
      <c r="B175" s="94">
        <v>45919</v>
      </c>
      <c r="C175" s="11" t="s">
        <v>8</v>
      </c>
      <c r="D175" s="8">
        <v>2109000</v>
      </c>
      <c r="E175" s="7"/>
    </row>
    <row r="176" spans="1:5" ht="15" customHeight="1">
      <c r="A176" s="85"/>
      <c r="B176" s="95"/>
      <c r="C176" s="13" t="s">
        <v>142</v>
      </c>
      <c r="D176" s="7"/>
      <c r="E176" s="7"/>
    </row>
    <row r="177" spans="1:5" ht="15" customHeight="1">
      <c r="A177" s="85"/>
      <c r="B177" s="95"/>
      <c r="C177" s="13" t="s">
        <v>148</v>
      </c>
      <c r="D177" s="9"/>
      <c r="E177" s="7"/>
    </row>
    <row r="178" spans="1:5" ht="15" customHeight="1">
      <c r="A178" s="85"/>
      <c r="B178" s="95"/>
      <c r="C178" s="13" t="s">
        <v>149</v>
      </c>
      <c r="D178" s="9"/>
      <c r="E178" s="7"/>
    </row>
    <row r="179" spans="1:5" ht="15" customHeight="1">
      <c r="A179" s="85"/>
      <c r="B179" s="95"/>
      <c r="C179" s="13" t="s">
        <v>147</v>
      </c>
      <c r="D179" s="9" t="s">
        <v>132</v>
      </c>
      <c r="E179" s="7"/>
    </row>
    <row r="180" spans="1:5" ht="15" customHeight="1">
      <c r="A180" s="85"/>
      <c r="B180" s="95"/>
      <c r="C180" s="13" t="s">
        <v>151</v>
      </c>
      <c r="D180" s="9"/>
      <c r="E180" s="7"/>
    </row>
    <row r="181" spans="1:5" ht="15" customHeight="1">
      <c r="A181" s="85"/>
      <c r="B181" s="95"/>
      <c r="C181" s="13" t="s">
        <v>146</v>
      </c>
      <c r="D181" s="9"/>
      <c r="E181" s="7"/>
    </row>
    <row r="182" spans="1:5" ht="15" customHeight="1">
      <c r="A182" s="85"/>
      <c r="B182" s="95"/>
      <c r="C182" s="13" t="s">
        <v>143</v>
      </c>
      <c r="D182" s="9"/>
      <c r="E182" s="7"/>
    </row>
    <row r="183" spans="1:5" ht="15" customHeight="1">
      <c r="A183" s="85"/>
      <c r="B183" s="95"/>
      <c r="C183" s="13" t="s">
        <v>152</v>
      </c>
      <c r="D183" s="9"/>
      <c r="E183" s="7"/>
    </row>
    <row r="184" spans="1:5" ht="15" customHeight="1">
      <c r="A184" s="85"/>
      <c r="B184" s="95"/>
      <c r="C184" s="13" t="s">
        <v>150</v>
      </c>
      <c r="D184" s="9"/>
      <c r="E184" s="7"/>
    </row>
    <row r="185" spans="1:5" ht="15" customHeight="1">
      <c r="A185" s="85"/>
      <c r="B185" s="95"/>
      <c r="C185" s="13" t="s">
        <v>145</v>
      </c>
      <c r="D185" s="9"/>
      <c r="E185" s="7"/>
    </row>
    <row r="186" spans="1:5" ht="15" customHeight="1">
      <c r="A186" s="86"/>
      <c r="B186" s="96"/>
      <c r="C186" s="13" t="s">
        <v>144</v>
      </c>
      <c r="D186" s="9"/>
      <c r="E186" s="7"/>
    </row>
    <row r="187" spans="1:5" ht="15" customHeight="1">
      <c r="A187" s="84">
        <v>17</v>
      </c>
      <c r="B187" s="94">
        <v>45923</v>
      </c>
      <c r="C187" s="11" t="s">
        <v>8</v>
      </c>
      <c r="D187" s="8">
        <v>312000</v>
      </c>
      <c r="E187" s="12"/>
    </row>
    <row r="188" spans="1:5" ht="15" customHeight="1">
      <c r="A188" s="85"/>
      <c r="B188" s="95"/>
      <c r="C188" s="13" t="s">
        <v>156</v>
      </c>
      <c r="D188" s="7"/>
      <c r="E188" s="7"/>
    </row>
    <row r="189" spans="1:5" ht="15" customHeight="1">
      <c r="A189" s="85"/>
      <c r="B189" s="95"/>
      <c r="C189" s="13" t="s">
        <v>134</v>
      </c>
      <c r="D189" s="9"/>
      <c r="E189" s="7"/>
    </row>
    <row r="190" spans="1:5" ht="15" customHeight="1">
      <c r="A190" s="85"/>
      <c r="B190" s="95"/>
      <c r="C190" s="13" t="s">
        <v>155</v>
      </c>
      <c r="D190" s="9" t="s">
        <v>132</v>
      </c>
      <c r="E190" s="7"/>
    </row>
    <row r="191" spans="1:5" ht="15" customHeight="1">
      <c r="A191" s="85"/>
      <c r="B191" s="95"/>
      <c r="C191" s="13" t="s">
        <v>137</v>
      </c>
      <c r="D191" s="9"/>
      <c r="E191" s="7"/>
    </row>
    <row r="192" spans="1:5" ht="15" customHeight="1">
      <c r="A192" s="85"/>
      <c r="B192" s="95"/>
      <c r="C192" s="13" t="s">
        <v>138</v>
      </c>
      <c r="D192" s="9"/>
      <c r="E192" s="7"/>
    </row>
    <row r="193" spans="1:5" ht="15" customHeight="1">
      <c r="A193" s="85"/>
      <c r="B193" s="95"/>
      <c r="C193" s="13" t="s">
        <v>139</v>
      </c>
      <c r="D193" s="9"/>
      <c r="E193" s="7"/>
    </row>
    <row r="194" spans="1:5" ht="15" customHeight="1">
      <c r="A194" s="85"/>
      <c r="B194" s="95"/>
      <c r="C194" s="13" t="s">
        <v>153</v>
      </c>
      <c r="D194" s="9"/>
      <c r="E194" s="7"/>
    </row>
    <row r="195" spans="1:5" ht="15" customHeight="1">
      <c r="A195" s="85"/>
      <c r="B195" s="95"/>
      <c r="C195" s="13" t="s">
        <v>154</v>
      </c>
      <c r="D195" s="9"/>
      <c r="E195" s="7"/>
    </row>
    <row r="196" spans="1:5" ht="15" customHeight="1">
      <c r="A196" s="86"/>
      <c r="B196" s="96"/>
      <c r="C196" s="13" t="s">
        <v>71</v>
      </c>
      <c r="D196" s="9"/>
      <c r="E196" s="7"/>
    </row>
    <row r="197" spans="1:5" ht="15" customHeight="1">
      <c r="A197" s="84">
        <v>18</v>
      </c>
      <c r="B197" s="94">
        <v>45924</v>
      </c>
      <c r="C197" s="11" t="s">
        <v>8</v>
      </c>
      <c r="D197" s="8">
        <v>851000</v>
      </c>
      <c r="E197" s="7"/>
    </row>
    <row r="198" spans="1:5" ht="15" customHeight="1">
      <c r="A198" s="85"/>
      <c r="B198" s="95"/>
      <c r="C198" s="24" t="s">
        <v>122</v>
      </c>
      <c r="D198" s="8"/>
      <c r="E198" s="7"/>
    </row>
    <row r="199" spans="1:5" ht="15" customHeight="1">
      <c r="A199" s="85"/>
      <c r="B199" s="95"/>
      <c r="C199" s="13" t="s">
        <v>133</v>
      </c>
      <c r="D199" s="7"/>
      <c r="E199" s="7"/>
    </row>
    <row r="200" spans="1:5" ht="15" customHeight="1">
      <c r="A200" s="85"/>
      <c r="B200" s="95"/>
      <c r="C200" s="13" t="s">
        <v>121</v>
      </c>
      <c r="D200" s="9"/>
      <c r="E200" s="7"/>
    </row>
    <row r="201" spans="1:5" ht="15" customHeight="1">
      <c r="A201" s="85"/>
      <c r="B201" s="95"/>
      <c r="C201" s="13" t="s">
        <v>157</v>
      </c>
      <c r="D201" s="9" t="s">
        <v>132</v>
      </c>
      <c r="E201" s="7"/>
    </row>
    <row r="202" spans="1:5" ht="15" customHeight="1">
      <c r="A202" s="85"/>
      <c r="B202" s="95"/>
      <c r="C202" s="13" t="s">
        <v>161</v>
      </c>
      <c r="D202" s="9"/>
      <c r="E202" s="7"/>
    </row>
    <row r="203" spans="1:5" ht="15" customHeight="1">
      <c r="A203" s="85"/>
      <c r="B203" s="95"/>
      <c r="C203" s="13" t="s">
        <v>158</v>
      </c>
      <c r="D203" s="9"/>
      <c r="E203" s="7"/>
    </row>
    <row r="204" spans="1:5" ht="15" customHeight="1">
      <c r="A204" s="85"/>
      <c r="B204" s="95"/>
      <c r="C204" s="13" t="s">
        <v>159</v>
      </c>
      <c r="D204" s="9"/>
      <c r="E204" s="7"/>
    </row>
    <row r="205" spans="1:5" ht="15" customHeight="1">
      <c r="A205" s="85"/>
      <c r="B205" s="95"/>
      <c r="C205" s="13" t="s">
        <v>108</v>
      </c>
      <c r="D205" s="9"/>
      <c r="E205" s="7"/>
    </row>
    <row r="206" spans="1:5" ht="15" customHeight="1">
      <c r="A206" s="85"/>
      <c r="B206" s="95"/>
      <c r="C206" s="13" t="s">
        <v>117</v>
      </c>
      <c r="D206" s="9"/>
      <c r="E206" s="7"/>
    </row>
    <row r="207" spans="1:5" ht="15" customHeight="1">
      <c r="A207" s="85"/>
      <c r="B207" s="95"/>
      <c r="C207" s="13" t="s">
        <v>160</v>
      </c>
      <c r="D207" s="9"/>
      <c r="E207" s="7"/>
    </row>
    <row r="208" spans="1:5" ht="15" customHeight="1">
      <c r="A208" s="85"/>
      <c r="B208" s="95"/>
      <c r="C208" s="13" t="s">
        <v>110</v>
      </c>
      <c r="D208" s="9"/>
      <c r="E208" s="7"/>
    </row>
    <row r="209" spans="1:5" ht="15" customHeight="1">
      <c r="A209" s="86"/>
      <c r="B209" s="96"/>
      <c r="C209" s="13" t="s">
        <v>33</v>
      </c>
      <c r="D209" s="9"/>
      <c r="E209" s="7"/>
    </row>
    <row r="210" spans="1:5" ht="15" customHeight="1">
      <c r="A210" s="84">
        <v>19</v>
      </c>
      <c r="B210" s="94">
        <v>45925</v>
      </c>
      <c r="C210" s="11" t="s">
        <v>8</v>
      </c>
      <c r="D210" s="8">
        <v>771000</v>
      </c>
      <c r="E210" s="7"/>
    </row>
    <row r="211" spans="1:5" ht="15" customHeight="1">
      <c r="A211" s="85"/>
      <c r="B211" s="95"/>
      <c r="C211" s="24" t="s">
        <v>122</v>
      </c>
      <c r="D211" s="8"/>
      <c r="E211" s="7"/>
    </row>
    <row r="212" spans="1:5" ht="15" customHeight="1">
      <c r="A212" s="85"/>
      <c r="B212" s="95"/>
      <c r="C212" s="13" t="s">
        <v>109</v>
      </c>
      <c r="D212" s="7"/>
      <c r="E212" s="7"/>
    </row>
    <row r="213" spans="1:5" ht="15" customHeight="1">
      <c r="A213" s="85"/>
      <c r="B213" s="95"/>
      <c r="C213" s="13" t="s">
        <v>121</v>
      </c>
      <c r="D213" s="9"/>
      <c r="E213" s="7"/>
    </row>
    <row r="214" spans="1:5" ht="15" customHeight="1">
      <c r="A214" s="85"/>
      <c r="B214" s="95"/>
      <c r="C214" s="13" t="s">
        <v>136</v>
      </c>
      <c r="D214" s="9" t="s">
        <v>132</v>
      </c>
      <c r="E214" s="7"/>
    </row>
    <row r="215" spans="1:5" ht="15" customHeight="1">
      <c r="A215" s="85"/>
      <c r="B215" s="95"/>
      <c r="C215" s="13" t="s">
        <v>164</v>
      </c>
      <c r="D215" s="9"/>
      <c r="E215" s="7"/>
    </row>
    <row r="216" spans="1:5" ht="15" customHeight="1">
      <c r="A216" s="85"/>
      <c r="B216" s="95"/>
      <c r="C216" s="13" t="s">
        <v>162</v>
      </c>
      <c r="D216" s="9"/>
      <c r="E216" s="7"/>
    </row>
    <row r="217" spans="1:5" ht="15" customHeight="1">
      <c r="A217" s="85"/>
      <c r="B217" s="95"/>
      <c r="C217" s="13" t="s">
        <v>139</v>
      </c>
      <c r="D217" s="9"/>
      <c r="E217" s="7"/>
    </row>
    <row r="218" spans="1:5" ht="15" customHeight="1">
      <c r="A218" s="85"/>
      <c r="B218" s="95"/>
      <c r="C218" s="13" t="s">
        <v>163</v>
      </c>
      <c r="D218" s="9"/>
      <c r="E218" s="7"/>
    </row>
    <row r="219" spans="1:5" ht="15" customHeight="1">
      <c r="A219" s="85"/>
      <c r="B219" s="95"/>
      <c r="C219" s="13" t="s">
        <v>119</v>
      </c>
      <c r="D219" s="9"/>
      <c r="E219" s="7"/>
    </row>
    <row r="220" spans="1:5" ht="15" customHeight="1">
      <c r="A220" s="85"/>
      <c r="B220" s="95"/>
      <c r="C220" s="13" t="s">
        <v>103</v>
      </c>
      <c r="D220" s="9"/>
      <c r="E220" s="7"/>
    </row>
    <row r="221" spans="1:5" ht="15" customHeight="1">
      <c r="A221" s="85"/>
      <c r="B221" s="95"/>
      <c r="C221" s="13" t="s">
        <v>71</v>
      </c>
      <c r="D221" s="9"/>
      <c r="E221" s="7"/>
    </row>
    <row r="222" spans="1:5" ht="15" customHeight="1">
      <c r="A222" s="86"/>
      <c r="B222" s="96"/>
      <c r="C222" s="13" t="s">
        <v>165</v>
      </c>
      <c r="D222" s="9"/>
      <c r="E222" s="7"/>
    </row>
    <row r="223" spans="1:5" ht="15" customHeight="1">
      <c r="A223" s="84">
        <v>20</v>
      </c>
      <c r="B223" s="94">
        <v>45926</v>
      </c>
      <c r="C223" s="11" t="s">
        <v>8</v>
      </c>
      <c r="D223" s="8">
        <v>2149000</v>
      </c>
      <c r="E223" s="12"/>
    </row>
    <row r="224" spans="1:5" ht="15" customHeight="1">
      <c r="A224" s="85"/>
      <c r="B224" s="95"/>
      <c r="C224" s="24" t="s">
        <v>167</v>
      </c>
      <c r="D224" s="8"/>
      <c r="E224" s="12"/>
    </row>
    <row r="225" spans="1:5" ht="15" customHeight="1">
      <c r="A225" s="85"/>
      <c r="B225" s="95"/>
      <c r="C225" s="13" t="s">
        <v>166</v>
      </c>
      <c r="D225" s="7"/>
      <c r="E225" s="7"/>
    </row>
    <row r="226" spans="1:5" ht="15" customHeight="1">
      <c r="A226" s="85"/>
      <c r="B226" s="95"/>
      <c r="C226" s="13" t="s">
        <v>168</v>
      </c>
      <c r="D226" s="9"/>
      <c r="E226" s="7"/>
    </row>
    <row r="227" spans="1:5" ht="15" customHeight="1">
      <c r="A227" s="85"/>
      <c r="B227" s="95"/>
      <c r="C227" s="13" t="s">
        <v>171</v>
      </c>
      <c r="D227" s="9" t="s">
        <v>132</v>
      </c>
      <c r="E227" s="7"/>
    </row>
    <row r="228" spans="1:5" ht="15" customHeight="1">
      <c r="A228" s="85"/>
      <c r="B228" s="95"/>
      <c r="C228" s="13" t="s">
        <v>173</v>
      </c>
      <c r="D228" s="9"/>
      <c r="E228" s="7"/>
    </row>
    <row r="229" spans="1:5" ht="15" customHeight="1">
      <c r="A229" s="85"/>
      <c r="B229" s="95"/>
      <c r="C229" s="13" t="s">
        <v>175</v>
      </c>
      <c r="D229" s="9"/>
      <c r="E229" s="7"/>
    </row>
    <row r="230" spans="1:5" ht="15" customHeight="1">
      <c r="A230" s="85"/>
      <c r="B230" s="95"/>
      <c r="C230" s="13" t="s">
        <v>170</v>
      </c>
      <c r="D230" s="9"/>
      <c r="E230" s="7"/>
    </row>
    <row r="231" spans="1:5" ht="15" customHeight="1">
      <c r="A231" s="85"/>
      <c r="B231" s="95"/>
      <c r="C231" s="13" t="s">
        <v>174</v>
      </c>
      <c r="D231" s="9"/>
      <c r="E231" s="7"/>
    </row>
    <row r="232" spans="1:5" ht="15" customHeight="1">
      <c r="A232" s="85"/>
      <c r="B232" s="95"/>
      <c r="C232" s="13" t="s">
        <v>172</v>
      </c>
      <c r="D232" s="9"/>
      <c r="E232" s="7"/>
    </row>
    <row r="233" spans="1:5" ht="15" customHeight="1">
      <c r="A233" s="85"/>
      <c r="B233" s="95"/>
      <c r="C233" s="13" t="s">
        <v>145</v>
      </c>
      <c r="D233" s="9"/>
      <c r="E233" s="7"/>
    </row>
    <row r="234" spans="1:5" ht="15" customHeight="1">
      <c r="A234" s="86"/>
      <c r="B234" s="96"/>
      <c r="C234" s="13" t="s">
        <v>169</v>
      </c>
      <c r="D234" s="9"/>
      <c r="E234" s="7"/>
    </row>
    <row r="235" spans="1:5" ht="15" customHeight="1">
      <c r="A235" s="84">
        <v>21</v>
      </c>
      <c r="B235" s="87">
        <v>45927</v>
      </c>
      <c r="C235" s="19" t="s">
        <v>106</v>
      </c>
      <c r="D235" s="21"/>
      <c r="E235" s="22">
        <v>9635200</v>
      </c>
    </row>
    <row r="236" spans="1:5" ht="15" customHeight="1">
      <c r="A236" s="85"/>
      <c r="B236" s="88"/>
      <c r="C236" s="20" t="s">
        <v>185</v>
      </c>
      <c r="D236" s="23"/>
      <c r="E236" s="23"/>
    </row>
    <row r="237" spans="1:5" ht="15" customHeight="1">
      <c r="A237" s="85"/>
      <c r="B237" s="88"/>
      <c r="C237" s="20" t="s">
        <v>107</v>
      </c>
      <c r="D237" s="23"/>
      <c r="E237" s="23"/>
    </row>
    <row r="238" spans="1:5" ht="15" customHeight="1">
      <c r="A238" s="85"/>
      <c r="B238" s="88"/>
      <c r="C238" s="20" t="s">
        <v>184</v>
      </c>
      <c r="D238" s="23"/>
      <c r="E238" s="23"/>
    </row>
    <row r="239" spans="1:5" ht="15" customHeight="1">
      <c r="A239" s="85"/>
      <c r="B239" s="88"/>
      <c r="C239" s="20" t="s">
        <v>183</v>
      </c>
      <c r="D239" s="8">
        <v>1022000</v>
      </c>
      <c r="E239" s="12"/>
    </row>
    <row r="240" spans="1:5" ht="15" customHeight="1">
      <c r="A240" s="85"/>
      <c r="B240" s="88"/>
      <c r="C240" s="11" t="s">
        <v>8</v>
      </c>
      <c r="D240" s="8"/>
      <c r="E240" s="12"/>
    </row>
    <row r="241" spans="1:5" ht="15" customHeight="1">
      <c r="A241" s="85"/>
      <c r="B241" s="88"/>
      <c r="C241" s="24" t="s">
        <v>176</v>
      </c>
      <c r="D241" s="7"/>
      <c r="E241" s="7"/>
    </row>
    <row r="242" spans="1:5" ht="15" customHeight="1">
      <c r="A242" s="85"/>
      <c r="B242" s="88"/>
      <c r="C242" s="13" t="s">
        <v>177</v>
      </c>
      <c r="D242" s="9"/>
      <c r="E242" s="7"/>
    </row>
    <row r="243" spans="1:5" ht="15" customHeight="1">
      <c r="A243" s="85"/>
      <c r="B243" s="88"/>
      <c r="C243" s="13" t="s">
        <v>111</v>
      </c>
      <c r="D243" s="9"/>
      <c r="E243" s="7"/>
    </row>
    <row r="244" spans="1:5" ht="15" customHeight="1">
      <c r="A244" s="85"/>
      <c r="B244" s="88"/>
      <c r="C244" s="13" t="s">
        <v>178</v>
      </c>
      <c r="D244" s="9"/>
      <c r="E244" s="7"/>
    </row>
    <row r="245" spans="1:5" ht="15" customHeight="1">
      <c r="A245" s="85"/>
      <c r="B245" s="88"/>
      <c r="C245" s="13" t="s">
        <v>179</v>
      </c>
      <c r="D245" s="9"/>
      <c r="E245" s="7"/>
    </row>
    <row r="246" spans="1:5" ht="15" customHeight="1">
      <c r="A246" s="85"/>
      <c r="B246" s="88"/>
      <c r="C246" s="13" t="s">
        <v>180</v>
      </c>
      <c r="D246" s="9"/>
      <c r="E246" s="7"/>
    </row>
    <row r="247" spans="1:5" ht="15" customHeight="1">
      <c r="A247" s="85"/>
      <c r="B247" s="88"/>
      <c r="C247" s="13" t="s">
        <v>140</v>
      </c>
      <c r="D247" s="9"/>
      <c r="E247" s="7"/>
    </row>
    <row r="248" spans="1:5" ht="15" customHeight="1">
      <c r="A248" s="85"/>
      <c r="B248" s="88"/>
      <c r="C248" s="13" t="s">
        <v>181</v>
      </c>
      <c r="D248" s="9"/>
      <c r="E248" s="7"/>
    </row>
    <row r="249" spans="1:5" ht="15" customHeight="1">
      <c r="A249" s="86"/>
      <c r="B249" s="89"/>
      <c r="C249" s="13" t="s">
        <v>182</v>
      </c>
      <c r="D249" s="9"/>
      <c r="E249" s="7"/>
    </row>
    <row r="250" spans="1:5" ht="15" customHeight="1">
      <c r="A250" s="84">
        <v>22</v>
      </c>
      <c r="B250" s="94">
        <v>45928</v>
      </c>
      <c r="C250" s="11" t="s">
        <v>8</v>
      </c>
      <c r="D250" s="8">
        <v>1154000</v>
      </c>
      <c r="E250" s="12"/>
    </row>
    <row r="251" spans="1:5" ht="15" customHeight="1">
      <c r="A251" s="85"/>
      <c r="B251" s="95"/>
      <c r="C251" s="24" t="s">
        <v>186</v>
      </c>
      <c r="D251" s="7"/>
      <c r="E251" s="7"/>
    </row>
    <row r="252" spans="1:5" ht="15" customHeight="1">
      <c r="A252" s="85"/>
      <c r="B252" s="95"/>
      <c r="C252" s="13" t="s">
        <v>187</v>
      </c>
      <c r="D252" s="9"/>
      <c r="E252" s="7"/>
    </row>
    <row r="253" spans="1:5" ht="15" customHeight="1">
      <c r="A253" s="85"/>
      <c r="B253" s="95"/>
      <c r="C253" s="13" t="s">
        <v>188</v>
      </c>
      <c r="D253" s="9"/>
      <c r="E253" s="7"/>
    </row>
    <row r="254" spans="1:5" ht="15" customHeight="1">
      <c r="A254" s="85"/>
      <c r="B254" s="95"/>
      <c r="C254" s="13" t="s">
        <v>189</v>
      </c>
      <c r="D254" s="9"/>
      <c r="E254" s="7"/>
    </row>
    <row r="255" spans="1:5" ht="15" customHeight="1">
      <c r="A255" s="85"/>
      <c r="B255" s="95"/>
      <c r="C255" s="13" t="s">
        <v>190</v>
      </c>
      <c r="D255" s="9"/>
      <c r="E255" s="7"/>
    </row>
    <row r="256" spans="1:5" ht="15" customHeight="1">
      <c r="A256" s="86"/>
      <c r="B256" s="96"/>
      <c r="C256" s="13" t="s">
        <v>191</v>
      </c>
      <c r="D256" s="9"/>
      <c r="E256" s="7"/>
    </row>
    <row r="257" spans="1:5" ht="15" customHeight="1">
      <c r="A257" s="84">
        <v>23</v>
      </c>
      <c r="B257" s="94">
        <v>45929</v>
      </c>
      <c r="C257" s="11" t="s">
        <v>8</v>
      </c>
      <c r="D257" s="8">
        <v>867000</v>
      </c>
      <c r="E257" s="7"/>
    </row>
    <row r="258" spans="1:5" ht="15" customHeight="1">
      <c r="A258" s="85"/>
      <c r="B258" s="95"/>
      <c r="C258" s="24" t="s">
        <v>122</v>
      </c>
      <c r="D258" s="7"/>
      <c r="E258" s="7"/>
    </row>
    <row r="259" spans="1:5" ht="15" customHeight="1">
      <c r="A259" s="85"/>
      <c r="B259" s="95"/>
      <c r="C259" s="13" t="s">
        <v>142</v>
      </c>
      <c r="D259" s="7"/>
      <c r="E259" s="7"/>
    </row>
    <row r="260" spans="1:5" ht="15" customHeight="1">
      <c r="A260" s="85"/>
      <c r="B260" s="95"/>
      <c r="C260" s="13" t="s">
        <v>192</v>
      </c>
      <c r="D260" s="7"/>
      <c r="E260" s="7"/>
    </row>
    <row r="261" spans="1:5" ht="15" customHeight="1">
      <c r="A261" s="85"/>
      <c r="B261" s="95"/>
      <c r="C261" s="13" t="s">
        <v>196</v>
      </c>
      <c r="D261" s="7"/>
      <c r="E261" s="7"/>
    </row>
    <row r="262" spans="1:5" ht="15" customHeight="1">
      <c r="A262" s="85"/>
      <c r="B262" s="95"/>
      <c r="C262" s="13" t="s">
        <v>198</v>
      </c>
      <c r="D262" s="7"/>
      <c r="E262" s="7"/>
    </row>
    <row r="263" spans="1:5" ht="15" customHeight="1">
      <c r="A263" s="85"/>
      <c r="B263" s="95"/>
      <c r="C263" s="13" t="s">
        <v>197</v>
      </c>
      <c r="D263" s="7"/>
      <c r="E263" s="7"/>
    </row>
    <row r="264" spans="1:5" ht="15" customHeight="1">
      <c r="A264" s="85"/>
      <c r="B264" s="95"/>
      <c r="C264" s="13" t="s">
        <v>163</v>
      </c>
      <c r="D264" s="9"/>
      <c r="E264" s="7"/>
    </row>
    <row r="265" spans="1:5" ht="15" customHeight="1">
      <c r="A265" s="85"/>
      <c r="B265" s="95"/>
      <c r="C265" s="13" t="s">
        <v>195</v>
      </c>
      <c r="D265" s="9"/>
      <c r="E265" s="7"/>
    </row>
    <row r="266" spans="1:5" ht="15" customHeight="1">
      <c r="A266" s="85"/>
      <c r="B266" s="95"/>
      <c r="C266" s="13" t="s">
        <v>193</v>
      </c>
      <c r="D266" s="9"/>
      <c r="E266" s="7"/>
    </row>
    <row r="267" spans="1:5" ht="15" customHeight="1">
      <c r="A267" s="85"/>
      <c r="B267" s="95"/>
      <c r="C267" s="13" t="s">
        <v>194</v>
      </c>
      <c r="D267" s="9"/>
      <c r="E267" s="7"/>
    </row>
    <row r="268" spans="1:5" ht="15" customHeight="1">
      <c r="A268" s="84">
        <v>24</v>
      </c>
      <c r="B268" s="94">
        <v>45930</v>
      </c>
      <c r="C268" s="11" t="s">
        <v>8</v>
      </c>
      <c r="D268" s="8">
        <v>781000</v>
      </c>
      <c r="E268" s="12"/>
    </row>
    <row r="269" spans="1:5" ht="15" customHeight="1">
      <c r="A269" s="85"/>
      <c r="B269" s="95"/>
      <c r="C269" s="24" t="s">
        <v>199</v>
      </c>
      <c r="D269" s="7"/>
      <c r="E269" s="7"/>
    </row>
    <row r="270" spans="1:5" ht="15" customHeight="1">
      <c r="A270" s="85"/>
      <c r="B270" s="95"/>
      <c r="C270" s="13" t="s">
        <v>133</v>
      </c>
      <c r="D270" s="7"/>
      <c r="E270" s="7"/>
    </row>
    <row r="271" spans="1:5" ht="15" customHeight="1">
      <c r="A271" s="85"/>
      <c r="B271" s="95"/>
      <c r="C271" s="13" t="s">
        <v>200</v>
      </c>
      <c r="D271" s="7"/>
      <c r="E271" s="7"/>
    </row>
    <row r="272" spans="1:5" ht="15" customHeight="1">
      <c r="A272" s="85"/>
      <c r="B272" s="95"/>
      <c r="C272" s="13" t="s">
        <v>198</v>
      </c>
      <c r="D272" s="7"/>
      <c r="E272" s="7"/>
    </row>
    <row r="273" spans="1:5" ht="15" customHeight="1">
      <c r="A273" s="85"/>
      <c r="B273" s="95"/>
      <c r="C273" s="13" t="s">
        <v>202</v>
      </c>
      <c r="D273" s="7"/>
      <c r="E273" s="7"/>
    </row>
    <row r="274" spans="1:5" ht="15" customHeight="1">
      <c r="A274" s="85"/>
      <c r="B274" s="95"/>
      <c r="C274" s="13" t="s">
        <v>163</v>
      </c>
      <c r="D274" s="9"/>
      <c r="E274" s="7"/>
    </row>
    <row r="275" spans="1:5" ht="15" customHeight="1">
      <c r="A275" s="85"/>
      <c r="B275" s="95"/>
      <c r="C275" s="13" t="s">
        <v>119</v>
      </c>
      <c r="D275" s="9"/>
      <c r="E275" s="7"/>
    </row>
    <row r="276" spans="1:5" ht="15" customHeight="1">
      <c r="A276" s="85"/>
      <c r="B276" s="95"/>
      <c r="C276" s="13" t="s">
        <v>193</v>
      </c>
      <c r="D276" s="9"/>
      <c r="E276" s="7"/>
    </row>
    <row r="277" spans="1:5" ht="15" customHeight="1">
      <c r="A277" s="85"/>
      <c r="B277" s="95"/>
      <c r="C277" s="13" t="s">
        <v>25</v>
      </c>
      <c r="D277" s="9"/>
      <c r="E277" s="7"/>
    </row>
    <row r="278" spans="1:5" ht="15" customHeight="1">
      <c r="A278" s="85"/>
      <c r="B278" s="95"/>
      <c r="C278" s="13" t="s">
        <v>180</v>
      </c>
      <c r="D278" s="9"/>
      <c r="E278" s="7"/>
    </row>
    <row r="279" spans="1:5" ht="15" customHeight="1">
      <c r="A279" s="85"/>
      <c r="B279" s="95"/>
      <c r="C279" s="13" t="s">
        <v>201</v>
      </c>
      <c r="D279" s="9"/>
      <c r="E279" s="7"/>
    </row>
    <row r="280" spans="1:5" ht="15" customHeight="1">
      <c r="A280" s="85"/>
      <c r="B280" s="95"/>
      <c r="C280" s="13" t="s">
        <v>128</v>
      </c>
      <c r="D280" s="9"/>
      <c r="E280" s="7"/>
    </row>
    <row r="281" spans="1:5" ht="15" customHeight="1">
      <c r="A281" s="85"/>
      <c r="B281" s="95"/>
      <c r="C281" s="13" t="s">
        <v>165</v>
      </c>
      <c r="D281" s="9"/>
      <c r="E281" s="7"/>
    </row>
    <row r="282" spans="1:5" ht="15" customHeight="1">
      <c r="A282" s="86"/>
      <c r="B282" s="96"/>
      <c r="C282" s="13" t="s">
        <v>118</v>
      </c>
      <c r="D282" s="9"/>
      <c r="E282" s="7"/>
    </row>
    <row r="283" spans="1:5" ht="15" customHeight="1">
      <c r="A283" s="26"/>
      <c r="B283" s="27"/>
      <c r="C283" s="9"/>
      <c r="D283" s="9"/>
      <c r="E283" s="7"/>
    </row>
    <row r="284" spans="1:5" ht="15" customHeight="1">
      <c r="A284" s="90" t="s">
        <v>13</v>
      </c>
      <c r="B284" s="91"/>
      <c r="C284" s="13"/>
      <c r="D284" s="10">
        <f>SUM(D10+D23+D34+D46+D55+D67+D79+D92+D104+D116+D123+D132+D138+D151+D163+D175+D187+D197+D210+D223+D239+D250+D257+D268)</f>
        <v>23725000</v>
      </c>
      <c r="E284" s="7"/>
    </row>
    <row r="285" spans="1:5" ht="15" customHeight="1">
      <c r="A285" s="92"/>
      <c r="B285" s="93"/>
      <c r="C285" s="25" t="s">
        <v>7</v>
      </c>
      <c r="D285" s="10">
        <f>SUM(D284-E285)</f>
        <v>4892800</v>
      </c>
      <c r="E285" s="28">
        <f>SUM(E128+E235)</f>
        <v>18832200</v>
      </c>
    </row>
    <row r="286" spans="1:5" ht="15" customHeight="1">
      <c r="D286" s="5"/>
      <c r="E286" s="5"/>
    </row>
    <row r="287" spans="1:5" ht="15" customHeight="1">
      <c r="A287" s="15"/>
      <c r="B287" s="2"/>
      <c r="C287" s="3"/>
      <c r="D287" s="5"/>
      <c r="E287" s="5"/>
    </row>
    <row r="288" spans="1:5" ht="15" customHeight="1">
      <c r="A288" s="15"/>
      <c r="B288" s="2"/>
      <c r="C288" s="6"/>
      <c r="D288" s="4"/>
      <c r="E288" s="5"/>
    </row>
    <row r="289" spans="1:5" ht="15" customHeight="1">
      <c r="A289" s="1"/>
      <c r="B289" s="2"/>
      <c r="C289" s="6"/>
      <c r="D289" s="4"/>
      <c r="E289" s="4"/>
    </row>
    <row r="290" spans="1:5" ht="15" customHeight="1">
      <c r="A290" s="1"/>
      <c r="C290" s="6"/>
      <c r="D290" s="4"/>
      <c r="E290" s="4"/>
    </row>
    <row r="291" spans="1:5" ht="15" customHeight="1">
      <c r="A291" s="1"/>
      <c r="C291" s="6"/>
      <c r="D291" s="4"/>
      <c r="E291" s="4"/>
    </row>
    <row r="292" spans="1:5" ht="15" customHeight="1">
      <c r="A292" s="1"/>
      <c r="C292" s="6"/>
      <c r="E292" s="4"/>
    </row>
    <row r="293" spans="1:5" ht="15" customHeight="1">
      <c r="A293" s="1"/>
      <c r="C293" s="6"/>
    </row>
    <row r="294" spans="1:5" ht="15" customHeight="1">
      <c r="A294" s="1"/>
      <c r="C294" s="6"/>
    </row>
    <row r="295" spans="1:5" ht="15" customHeight="1">
      <c r="A295" s="1"/>
      <c r="C295" s="6"/>
    </row>
    <row r="296" spans="1:5" ht="15" customHeight="1">
      <c r="C296" s="3"/>
    </row>
    <row r="297" spans="1:5" ht="15" customHeight="1">
      <c r="C297" s="3"/>
    </row>
    <row r="298" spans="1:5" ht="15" customHeight="1">
      <c r="C298" s="3"/>
    </row>
    <row r="299" spans="1:5" ht="15" customHeight="1">
      <c r="C299" s="3"/>
    </row>
  </sheetData>
  <mergeCells count="52">
    <mergeCell ref="A79:A91"/>
    <mergeCell ref="B79:B91"/>
    <mergeCell ref="A92:A103"/>
    <mergeCell ref="B92:B103"/>
    <mergeCell ref="B223:B234"/>
    <mergeCell ref="A223:A234"/>
    <mergeCell ref="A197:A209"/>
    <mergeCell ref="B197:B209"/>
    <mergeCell ref="A175:A186"/>
    <mergeCell ref="B175:B186"/>
    <mergeCell ref="B210:B222"/>
    <mergeCell ref="A210:A222"/>
    <mergeCell ref="A187:A196"/>
    <mergeCell ref="B187:B196"/>
    <mergeCell ref="A104:A115"/>
    <mergeCell ref="B104:B115"/>
    <mergeCell ref="A116:A122"/>
    <mergeCell ref="B116:B122"/>
    <mergeCell ref="A163:A174"/>
    <mergeCell ref="B163:B174"/>
    <mergeCell ref="A151:A162"/>
    <mergeCell ref="B151:B162"/>
    <mergeCell ref="B123:B127"/>
    <mergeCell ref="A123:A127"/>
    <mergeCell ref="A128:A137"/>
    <mergeCell ref="B128:B137"/>
    <mergeCell ref="A138:A150"/>
    <mergeCell ref="B138:B150"/>
    <mergeCell ref="A1:E6"/>
    <mergeCell ref="A7:E7"/>
    <mergeCell ref="A8:E8"/>
    <mergeCell ref="A67:A78"/>
    <mergeCell ref="B67:B78"/>
    <mergeCell ref="A34:A45"/>
    <mergeCell ref="B34:B45"/>
    <mergeCell ref="A23:A33"/>
    <mergeCell ref="B23:B33"/>
    <mergeCell ref="A46:A54"/>
    <mergeCell ref="B46:B54"/>
    <mergeCell ref="A55:A66"/>
    <mergeCell ref="B55:B66"/>
    <mergeCell ref="A10:A22"/>
    <mergeCell ref="B10:B22"/>
    <mergeCell ref="A235:A249"/>
    <mergeCell ref="B235:B249"/>
    <mergeCell ref="A284:B285"/>
    <mergeCell ref="A250:A256"/>
    <mergeCell ref="B250:B256"/>
    <mergeCell ref="A257:A267"/>
    <mergeCell ref="B257:B267"/>
    <mergeCell ref="B268:B282"/>
    <mergeCell ref="A268:A282"/>
  </mergeCells>
  <phoneticPr fontId="12" type="noConversion"/>
  <pageMargins left="0.25" right="0.25" top="0.75" bottom="0.75" header="0.3" footer="0.3"/>
  <pageSetup paperSize="9" scale="93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E42A-8CAA-403F-8510-72F629F213A9}">
  <dimension ref="A1:G291"/>
  <sheetViews>
    <sheetView topLeftCell="A265" zoomScale="77" zoomScaleNormal="71" workbookViewId="0">
      <selection activeCell="C209" sqref="C209"/>
    </sheetView>
  </sheetViews>
  <sheetFormatPr defaultColWidth="14.44140625" defaultRowHeight="15" customHeight="1"/>
  <cols>
    <col min="1" max="1" width="8.77734375" customWidth="1"/>
    <col min="2" max="2" width="11.77734375" customWidth="1"/>
    <col min="3" max="3" width="61.21875" customWidth="1"/>
    <col min="4" max="4" width="40" customWidth="1"/>
    <col min="5" max="5" width="32" customWidth="1"/>
    <col min="6" max="6" width="15.44140625" customWidth="1"/>
    <col min="7" max="11" width="8.77734375" customWidth="1"/>
  </cols>
  <sheetData>
    <row r="1" spans="1:5" ht="14.25" customHeight="1">
      <c r="A1" s="97"/>
      <c r="B1" s="98"/>
      <c r="C1" s="98"/>
      <c r="D1" s="98"/>
      <c r="E1" s="98"/>
    </row>
    <row r="2" spans="1:5" ht="14.25" customHeight="1">
      <c r="A2" s="98"/>
      <c r="B2" s="98"/>
      <c r="C2" s="98"/>
      <c r="D2" s="98"/>
      <c r="E2" s="98"/>
    </row>
    <row r="3" spans="1:5" ht="14.25" customHeight="1">
      <c r="A3" s="98"/>
      <c r="B3" s="98"/>
      <c r="C3" s="98"/>
      <c r="D3" s="98"/>
      <c r="E3" s="98"/>
    </row>
    <row r="4" spans="1:5" ht="14.25" customHeight="1">
      <c r="A4" s="98"/>
      <c r="B4" s="98"/>
      <c r="C4" s="98"/>
      <c r="D4" s="98"/>
      <c r="E4" s="98"/>
    </row>
    <row r="5" spans="1:5" ht="14.25" customHeight="1">
      <c r="A5" s="98"/>
      <c r="B5" s="98"/>
      <c r="C5" s="98"/>
      <c r="D5" s="98"/>
      <c r="E5" s="98"/>
    </row>
    <row r="6" spans="1:5" ht="14.25" customHeight="1">
      <c r="A6" s="98"/>
      <c r="B6" s="98"/>
      <c r="C6" s="98"/>
      <c r="D6" s="98"/>
      <c r="E6" s="98"/>
    </row>
    <row r="7" spans="1:5" ht="14.25" customHeight="1">
      <c r="A7" s="99" t="s">
        <v>0</v>
      </c>
      <c r="B7" s="100"/>
      <c r="C7" s="100"/>
      <c r="D7" s="100"/>
      <c r="E7" s="100"/>
    </row>
    <row r="8" spans="1:5" ht="14.25" customHeight="1">
      <c r="A8" s="101" t="s">
        <v>293</v>
      </c>
      <c r="B8" s="100"/>
      <c r="C8" s="102"/>
      <c r="D8" s="102"/>
      <c r="E8" s="102"/>
    </row>
    <row r="9" spans="1:5" ht="14.25" customHeight="1">
      <c r="A9" s="17" t="s">
        <v>1</v>
      </c>
      <c r="B9" s="18" t="s">
        <v>2</v>
      </c>
      <c r="C9" s="16" t="s">
        <v>3</v>
      </c>
      <c r="D9" s="14" t="s">
        <v>4</v>
      </c>
      <c r="E9" s="14" t="s">
        <v>5</v>
      </c>
    </row>
    <row r="10" spans="1:5" ht="14.25" customHeight="1">
      <c r="A10" s="85">
        <v>1</v>
      </c>
      <c r="B10" s="95">
        <v>45931</v>
      </c>
      <c r="C10" s="11" t="s">
        <v>8</v>
      </c>
      <c r="D10" s="8">
        <v>369000</v>
      </c>
      <c r="E10" s="12"/>
    </row>
    <row r="11" spans="1:5" ht="14.25" customHeight="1">
      <c r="A11" s="85"/>
      <c r="B11" s="95"/>
      <c r="C11" s="13" t="s">
        <v>206</v>
      </c>
      <c r="D11" s="7"/>
      <c r="E11" s="7"/>
    </row>
    <row r="12" spans="1:5" ht="14.25" customHeight="1">
      <c r="A12" s="85"/>
      <c r="B12" s="95"/>
      <c r="C12" s="13" t="s">
        <v>204</v>
      </c>
      <c r="D12" s="7"/>
      <c r="E12" s="7"/>
    </row>
    <row r="13" spans="1:5" ht="14.25" customHeight="1">
      <c r="A13" s="85"/>
      <c r="B13" s="95"/>
      <c r="C13" s="13" t="s">
        <v>203</v>
      </c>
      <c r="D13" s="7"/>
      <c r="E13" s="7"/>
    </row>
    <row r="14" spans="1:5" ht="14.25" customHeight="1">
      <c r="A14" s="85"/>
      <c r="B14" s="95"/>
      <c r="C14" s="13" t="s">
        <v>27</v>
      </c>
      <c r="D14" s="7"/>
      <c r="E14" s="7"/>
    </row>
    <row r="15" spans="1:5" ht="14.25" customHeight="1">
      <c r="A15" s="85"/>
      <c r="B15" s="95"/>
      <c r="C15" s="13" t="s">
        <v>71</v>
      </c>
      <c r="D15" s="7"/>
      <c r="E15" s="7"/>
    </row>
    <row r="16" spans="1:5" ht="14.25" customHeight="1">
      <c r="A16" s="85"/>
      <c r="B16" s="95"/>
      <c r="C16" s="13" t="s">
        <v>53</v>
      </c>
      <c r="E16" s="7"/>
    </row>
    <row r="17" spans="1:5" ht="14.25" customHeight="1">
      <c r="A17" s="85"/>
      <c r="B17" s="95"/>
      <c r="C17" s="13" t="s">
        <v>205</v>
      </c>
      <c r="D17" s="9"/>
      <c r="E17" s="7"/>
    </row>
    <row r="18" spans="1:5" ht="14.25" customHeight="1">
      <c r="A18" s="85"/>
      <c r="B18" s="95"/>
      <c r="C18" s="13" t="s">
        <v>73</v>
      </c>
      <c r="D18" s="9"/>
      <c r="E18" s="7"/>
    </row>
    <row r="19" spans="1:5" ht="14.25" customHeight="1">
      <c r="A19" s="85"/>
      <c r="B19" s="95"/>
      <c r="C19" s="13" t="s">
        <v>207</v>
      </c>
      <c r="D19" s="9"/>
      <c r="E19" s="7"/>
    </row>
    <row r="20" spans="1:5" ht="14.25" customHeight="1">
      <c r="A20" s="85"/>
      <c r="B20" s="95"/>
      <c r="C20" s="13" t="s">
        <v>208</v>
      </c>
      <c r="D20" s="9"/>
      <c r="E20" s="10"/>
    </row>
    <row r="21" spans="1:5" ht="15" customHeight="1">
      <c r="A21" s="86"/>
      <c r="B21" s="96"/>
      <c r="C21" s="13" t="s">
        <v>209</v>
      </c>
      <c r="D21" s="7"/>
      <c r="E21" s="10"/>
    </row>
    <row r="22" spans="1:5" ht="15" customHeight="1">
      <c r="A22" s="84">
        <v>2</v>
      </c>
      <c r="B22" s="94">
        <v>45932</v>
      </c>
      <c r="C22" s="11" t="s">
        <v>8</v>
      </c>
      <c r="D22" s="8">
        <v>691000</v>
      </c>
      <c r="E22" s="10"/>
    </row>
    <row r="23" spans="1:5" ht="15" customHeight="1">
      <c r="A23" s="85"/>
      <c r="B23" s="95"/>
      <c r="C23" s="13" t="s">
        <v>210</v>
      </c>
      <c r="D23" s="7"/>
      <c r="E23" s="10"/>
    </row>
    <row r="24" spans="1:5" ht="15" customHeight="1">
      <c r="A24" s="85"/>
      <c r="B24" s="95"/>
      <c r="C24" s="13" t="s">
        <v>71</v>
      </c>
      <c r="D24" s="7"/>
      <c r="E24" s="10"/>
    </row>
    <row r="25" spans="1:5" ht="15" customHeight="1">
      <c r="A25" s="85"/>
      <c r="B25" s="95"/>
      <c r="C25" s="13" t="s">
        <v>211</v>
      </c>
      <c r="D25" s="7"/>
      <c r="E25" s="10"/>
    </row>
    <row r="26" spans="1:5" ht="15" customHeight="1">
      <c r="A26" s="85"/>
      <c r="B26" s="95"/>
      <c r="C26" s="13" t="s">
        <v>212</v>
      </c>
      <c r="D26" s="7"/>
      <c r="E26" s="10"/>
    </row>
    <row r="27" spans="1:5" ht="15" customHeight="1">
      <c r="A27" s="85"/>
      <c r="B27" s="95"/>
      <c r="C27" s="13" t="s">
        <v>213</v>
      </c>
      <c r="D27" s="7"/>
      <c r="E27" s="10"/>
    </row>
    <row r="28" spans="1:5" ht="15" customHeight="1">
      <c r="A28" s="85"/>
      <c r="B28" s="95"/>
      <c r="C28" s="13" t="s">
        <v>214</v>
      </c>
      <c r="D28" s="7"/>
      <c r="E28" s="10"/>
    </row>
    <row r="29" spans="1:5" ht="15" customHeight="1">
      <c r="A29" s="85"/>
      <c r="B29" s="95"/>
      <c r="C29" s="13" t="s">
        <v>215</v>
      </c>
      <c r="E29" s="10"/>
    </row>
    <row r="30" spans="1:5" ht="15" customHeight="1">
      <c r="A30" s="85"/>
      <c r="B30" s="95"/>
      <c r="C30" s="13" t="s">
        <v>30</v>
      </c>
      <c r="D30" s="9"/>
      <c r="E30" s="10"/>
    </row>
    <row r="31" spans="1:5" ht="15" customHeight="1">
      <c r="A31" s="85"/>
      <c r="B31" s="95"/>
      <c r="C31" s="13" t="s">
        <v>217</v>
      </c>
      <c r="D31" s="9"/>
      <c r="E31" s="10"/>
    </row>
    <row r="32" spans="1:5" ht="15" customHeight="1">
      <c r="A32" s="85"/>
      <c r="B32" s="95"/>
      <c r="C32" s="13" t="s">
        <v>216</v>
      </c>
      <c r="D32" s="9"/>
      <c r="E32" s="10"/>
    </row>
    <row r="33" spans="1:5" ht="15" customHeight="1">
      <c r="A33" s="85"/>
      <c r="B33" s="95"/>
      <c r="C33" s="13" t="s">
        <v>75</v>
      </c>
      <c r="D33" s="9"/>
      <c r="E33" s="10"/>
    </row>
    <row r="34" spans="1:5" ht="15" customHeight="1">
      <c r="A34" s="85"/>
      <c r="B34" s="96"/>
      <c r="C34" s="13" t="s">
        <v>118</v>
      </c>
      <c r="D34" s="9"/>
      <c r="E34" s="10"/>
    </row>
    <row r="35" spans="1:5" ht="15" customHeight="1">
      <c r="A35" s="84">
        <v>3</v>
      </c>
      <c r="B35" s="94">
        <v>45933</v>
      </c>
      <c r="C35" s="11" t="s">
        <v>8</v>
      </c>
      <c r="D35" s="8">
        <v>2937000</v>
      </c>
      <c r="E35" s="10"/>
    </row>
    <row r="36" spans="1:5" ht="15" customHeight="1">
      <c r="A36" s="85"/>
      <c r="B36" s="95"/>
      <c r="C36" s="13" t="s">
        <v>227</v>
      </c>
      <c r="D36" s="7"/>
      <c r="E36" s="10"/>
    </row>
    <row r="37" spans="1:5" ht="15" customHeight="1">
      <c r="A37" s="85"/>
      <c r="B37" s="95"/>
      <c r="C37" s="13" t="s">
        <v>228</v>
      </c>
      <c r="D37" s="7"/>
      <c r="E37" s="10"/>
    </row>
    <row r="38" spans="1:5" ht="15" customHeight="1">
      <c r="A38" s="85"/>
      <c r="B38" s="95"/>
      <c r="C38" s="13" t="s">
        <v>229</v>
      </c>
      <c r="D38" s="7"/>
      <c r="E38" s="10"/>
    </row>
    <row r="39" spans="1:5" ht="15" customHeight="1">
      <c r="A39" s="85"/>
      <c r="B39" s="95"/>
      <c r="C39" s="13" t="s">
        <v>230</v>
      </c>
      <c r="D39" s="7"/>
      <c r="E39" s="10"/>
    </row>
    <row r="40" spans="1:5" ht="15" customHeight="1">
      <c r="A40" s="85"/>
      <c r="B40" s="95"/>
      <c r="C40" s="13" t="s">
        <v>231</v>
      </c>
      <c r="D40" s="7"/>
      <c r="E40" s="10"/>
    </row>
    <row r="41" spans="1:5" ht="15" customHeight="1">
      <c r="A41" s="85"/>
      <c r="B41" s="95"/>
      <c r="C41" s="13" t="s">
        <v>232</v>
      </c>
      <c r="D41" s="7"/>
      <c r="E41" s="10"/>
    </row>
    <row r="42" spans="1:5" ht="15" customHeight="1">
      <c r="A42" s="85"/>
      <c r="B42" s="95"/>
      <c r="C42" s="13" t="s">
        <v>233</v>
      </c>
      <c r="E42" s="10"/>
    </row>
    <row r="43" spans="1:5" ht="15" customHeight="1">
      <c r="A43" s="85"/>
      <c r="B43" s="95"/>
      <c r="C43" s="13" t="s">
        <v>234</v>
      </c>
      <c r="D43" s="9"/>
      <c r="E43" s="10"/>
    </row>
    <row r="44" spans="1:5" ht="15" customHeight="1">
      <c r="A44" s="85"/>
      <c r="B44" s="95"/>
      <c r="C44" s="13" t="s">
        <v>235</v>
      </c>
      <c r="D44" s="9"/>
      <c r="E44" s="10"/>
    </row>
    <row r="45" spans="1:5" ht="15" customHeight="1">
      <c r="A45" s="85"/>
      <c r="B45" s="95"/>
      <c r="C45" s="13" t="s">
        <v>236</v>
      </c>
      <c r="D45" s="9"/>
      <c r="E45" s="10"/>
    </row>
    <row r="46" spans="1:5" ht="15" customHeight="1">
      <c r="A46" s="85"/>
      <c r="B46" s="95"/>
      <c r="C46" s="13" t="s">
        <v>237</v>
      </c>
      <c r="D46" s="9"/>
      <c r="E46" s="10"/>
    </row>
    <row r="47" spans="1:5" ht="15" customHeight="1">
      <c r="A47" s="85"/>
      <c r="B47" s="96"/>
      <c r="C47" s="13" t="s">
        <v>239</v>
      </c>
      <c r="D47" s="9"/>
      <c r="E47" s="10"/>
    </row>
    <row r="48" spans="1:5" ht="15" customHeight="1">
      <c r="A48" s="84">
        <v>4</v>
      </c>
      <c r="B48" s="94">
        <v>45935</v>
      </c>
      <c r="C48" s="11" t="s">
        <v>8</v>
      </c>
      <c r="D48" s="8">
        <v>1228000</v>
      </c>
      <c r="E48" s="10"/>
    </row>
    <row r="49" spans="1:5" ht="15" customHeight="1">
      <c r="A49" s="85"/>
      <c r="B49" s="95"/>
      <c r="C49" s="13" t="s">
        <v>221</v>
      </c>
      <c r="D49" s="7"/>
      <c r="E49" s="10"/>
    </row>
    <row r="50" spans="1:5" ht="15" customHeight="1">
      <c r="A50" s="85"/>
      <c r="B50" s="95"/>
      <c r="C50" s="13" t="s">
        <v>220</v>
      </c>
      <c r="D50" s="7"/>
      <c r="E50" s="10"/>
    </row>
    <row r="51" spans="1:5" ht="15" customHeight="1">
      <c r="A51" s="85"/>
      <c r="B51" s="95"/>
      <c r="C51" s="13" t="s">
        <v>218</v>
      </c>
      <c r="D51" s="7"/>
      <c r="E51" s="10"/>
    </row>
    <row r="52" spans="1:5" ht="15" customHeight="1">
      <c r="A52" s="85"/>
      <c r="B52" s="95"/>
      <c r="C52" s="13" t="s">
        <v>219</v>
      </c>
      <c r="D52" s="7"/>
      <c r="E52" s="10"/>
    </row>
    <row r="53" spans="1:5" ht="15" customHeight="1">
      <c r="A53" s="85"/>
      <c r="B53" s="95"/>
      <c r="C53" s="13" t="s">
        <v>95</v>
      </c>
      <c r="D53" s="7"/>
      <c r="E53" s="10"/>
    </row>
    <row r="54" spans="1:5" ht="15" customHeight="1">
      <c r="A54" s="85"/>
      <c r="B54" s="95"/>
      <c r="C54" s="13" t="s">
        <v>222</v>
      </c>
      <c r="D54" s="7"/>
      <c r="E54" s="10"/>
    </row>
    <row r="55" spans="1:5" ht="15" customHeight="1">
      <c r="A55" s="85"/>
      <c r="B55" s="95"/>
      <c r="C55" s="13" t="s">
        <v>223</v>
      </c>
      <c r="E55" s="10"/>
    </row>
    <row r="56" spans="1:5" ht="15" customHeight="1">
      <c r="A56" s="85"/>
      <c r="B56" s="95"/>
      <c r="C56" s="13" t="s">
        <v>225</v>
      </c>
      <c r="D56" s="9"/>
      <c r="E56" s="10"/>
    </row>
    <row r="57" spans="1:5" ht="15" customHeight="1">
      <c r="A57" s="85"/>
      <c r="B57" s="95"/>
      <c r="C57" s="13" t="s">
        <v>224</v>
      </c>
      <c r="D57" s="9"/>
      <c r="E57" s="10"/>
    </row>
    <row r="58" spans="1:5" ht="15" customHeight="1">
      <c r="A58" s="85"/>
      <c r="B58" s="95"/>
      <c r="C58" s="13" t="s">
        <v>226</v>
      </c>
      <c r="D58" s="9"/>
      <c r="E58" s="10"/>
    </row>
    <row r="59" spans="1:5" ht="15" customHeight="1">
      <c r="A59" s="85"/>
      <c r="B59" s="96"/>
      <c r="C59" s="13" t="s">
        <v>238</v>
      </c>
      <c r="D59" s="9"/>
      <c r="E59" s="10"/>
    </row>
    <row r="60" spans="1:5" ht="15" customHeight="1">
      <c r="A60" s="84">
        <v>5</v>
      </c>
      <c r="B60" s="94">
        <v>45936</v>
      </c>
      <c r="C60" s="11" t="s">
        <v>8</v>
      </c>
      <c r="D60" s="8">
        <v>609000</v>
      </c>
      <c r="E60" s="10"/>
    </row>
    <row r="61" spans="1:5" ht="15" customHeight="1">
      <c r="A61" s="85"/>
      <c r="B61" s="95"/>
      <c r="C61" s="13" t="s">
        <v>240</v>
      </c>
      <c r="D61" s="7"/>
      <c r="E61" s="10"/>
    </row>
    <row r="62" spans="1:5" ht="15" customHeight="1">
      <c r="A62" s="85"/>
      <c r="B62" s="95"/>
      <c r="C62" s="13" t="s">
        <v>78</v>
      </c>
      <c r="D62" s="7"/>
      <c r="E62" s="10"/>
    </row>
    <row r="63" spans="1:5" ht="15" customHeight="1">
      <c r="A63" s="85"/>
      <c r="B63" s="95"/>
      <c r="C63" s="13" t="s">
        <v>241</v>
      </c>
      <c r="D63" s="7"/>
      <c r="E63" s="10"/>
    </row>
    <row r="64" spans="1:5" ht="15" customHeight="1">
      <c r="A64" s="85"/>
      <c r="B64" s="95"/>
      <c r="C64" s="13" t="s">
        <v>242</v>
      </c>
      <c r="D64" s="7"/>
      <c r="E64" s="10"/>
    </row>
    <row r="65" spans="1:5" ht="15" customHeight="1">
      <c r="A65" s="85"/>
      <c r="B65" s="95"/>
      <c r="C65" s="13" t="s">
        <v>95</v>
      </c>
      <c r="D65" s="7"/>
      <c r="E65" s="10"/>
    </row>
    <row r="66" spans="1:5" ht="15" customHeight="1">
      <c r="A66" s="85"/>
      <c r="B66" s="95"/>
      <c r="C66" s="13" t="s">
        <v>243</v>
      </c>
      <c r="D66" s="7"/>
      <c r="E66" s="10"/>
    </row>
    <row r="67" spans="1:5" ht="15" customHeight="1">
      <c r="A67" s="85"/>
      <c r="B67" s="95"/>
      <c r="C67" s="13" t="s">
        <v>223</v>
      </c>
      <c r="E67" s="10"/>
    </row>
    <row r="68" spans="1:5" ht="15" customHeight="1">
      <c r="A68" s="85"/>
      <c r="B68" s="95"/>
      <c r="C68" s="13" t="s">
        <v>244</v>
      </c>
      <c r="D68" s="9"/>
      <c r="E68" s="10"/>
    </row>
    <row r="69" spans="1:5" ht="15" customHeight="1">
      <c r="A69" s="85"/>
      <c r="B69" s="96"/>
      <c r="C69" s="13" t="s">
        <v>245</v>
      </c>
      <c r="D69" s="9"/>
      <c r="E69" s="10"/>
    </row>
    <row r="70" spans="1:5" ht="15" customHeight="1">
      <c r="A70" s="84">
        <v>6</v>
      </c>
      <c r="B70" s="94">
        <v>45937</v>
      </c>
      <c r="C70" s="11" t="s">
        <v>8</v>
      </c>
      <c r="D70" s="8">
        <v>626000</v>
      </c>
      <c r="E70" s="10"/>
    </row>
    <row r="71" spans="1:5" ht="15" customHeight="1">
      <c r="A71" s="85"/>
      <c r="B71" s="95"/>
      <c r="C71" s="13" t="s">
        <v>246</v>
      </c>
      <c r="D71" s="7"/>
      <c r="E71" s="10"/>
    </row>
    <row r="72" spans="1:5" ht="15" customHeight="1">
      <c r="A72" s="85"/>
      <c r="B72" s="95"/>
      <c r="C72" s="13" t="s">
        <v>78</v>
      </c>
      <c r="D72" s="7"/>
      <c r="E72" s="10"/>
    </row>
    <row r="73" spans="1:5" ht="15" customHeight="1">
      <c r="A73" s="85"/>
      <c r="B73" s="95"/>
      <c r="C73" s="13" t="s">
        <v>247</v>
      </c>
      <c r="D73" s="7"/>
      <c r="E73" s="10"/>
    </row>
    <row r="74" spans="1:5" ht="15" customHeight="1">
      <c r="A74" s="85"/>
      <c r="B74" s="95"/>
      <c r="C74" s="13" t="s">
        <v>27</v>
      </c>
      <c r="D74" s="7"/>
      <c r="E74" s="10"/>
    </row>
    <row r="75" spans="1:5" ht="15" customHeight="1">
      <c r="A75" s="85"/>
      <c r="B75" s="95"/>
      <c r="C75" s="13" t="s">
        <v>248</v>
      </c>
      <c r="E75" s="10"/>
    </row>
    <row r="76" spans="1:5" ht="15" customHeight="1">
      <c r="A76" s="85"/>
      <c r="B76" s="95"/>
      <c r="C76" s="13" t="s">
        <v>244</v>
      </c>
      <c r="D76" s="9"/>
      <c r="E76" s="10"/>
    </row>
    <row r="77" spans="1:5" ht="15" customHeight="1">
      <c r="A77" s="85"/>
      <c r="B77" s="96"/>
      <c r="C77" s="13" t="s">
        <v>249</v>
      </c>
      <c r="D77" s="9"/>
      <c r="E77" s="10"/>
    </row>
    <row r="78" spans="1:5" ht="15" customHeight="1">
      <c r="A78" s="84">
        <v>7</v>
      </c>
      <c r="B78" s="94">
        <v>45938</v>
      </c>
      <c r="C78" s="11" t="s">
        <v>8</v>
      </c>
      <c r="D78" s="8">
        <v>341000</v>
      </c>
      <c r="E78" s="10"/>
    </row>
    <row r="79" spans="1:5" ht="15" customHeight="1">
      <c r="A79" s="85"/>
      <c r="B79" s="95"/>
      <c r="C79" s="13" t="s">
        <v>250</v>
      </c>
      <c r="D79" s="7"/>
      <c r="E79" s="10"/>
    </row>
    <row r="80" spans="1:5" ht="15" customHeight="1">
      <c r="A80" s="85"/>
      <c r="B80" s="95"/>
      <c r="C80" s="13" t="s">
        <v>252</v>
      </c>
      <c r="D80" s="7"/>
      <c r="E80" s="10"/>
    </row>
    <row r="81" spans="1:5" ht="15" customHeight="1">
      <c r="A81" s="85"/>
      <c r="B81" s="95"/>
      <c r="C81" s="13" t="s">
        <v>251</v>
      </c>
      <c r="D81" s="7"/>
      <c r="E81" s="10"/>
    </row>
    <row r="82" spans="1:5" ht="15" customHeight="1">
      <c r="A82" s="85"/>
      <c r="B82" s="95"/>
      <c r="C82" s="13" t="s">
        <v>253</v>
      </c>
      <c r="D82" s="7"/>
      <c r="E82" s="10"/>
    </row>
    <row r="83" spans="1:5" ht="15" customHeight="1">
      <c r="A83" s="85"/>
      <c r="B83" s="95"/>
      <c r="C83" s="13" t="s">
        <v>255</v>
      </c>
      <c r="E83" s="10"/>
    </row>
    <row r="84" spans="1:5" ht="15" customHeight="1">
      <c r="A84" s="85"/>
      <c r="B84" s="95"/>
      <c r="C84" s="13" t="s">
        <v>256</v>
      </c>
      <c r="D84" s="9"/>
      <c r="E84" s="10"/>
    </row>
    <row r="85" spans="1:5" ht="15" customHeight="1">
      <c r="A85" s="85"/>
      <c r="B85" s="95"/>
      <c r="C85" s="29" t="s">
        <v>254</v>
      </c>
      <c r="D85" s="30"/>
      <c r="E85" s="10"/>
    </row>
    <row r="86" spans="1:5" ht="15" customHeight="1">
      <c r="A86" s="84">
        <v>8</v>
      </c>
      <c r="B86" s="94">
        <v>45939</v>
      </c>
      <c r="C86" s="11" t="s">
        <v>8</v>
      </c>
      <c r="D86" s="8">
        <v>210000</v>
      </c>
      <c r="E86" s="10"/>
    </row>
    <row r="87" spans="1:5" ht="15" customHeight="1">
      <c r="A87" s="85"/>
      <c r="B87" s="95"/>
      <c r="C87" s="13" t="s">
        <v>258</v>
      </c>
      <c r="D87" s="7"/>
      <c r="E87" s="10"/>
    </row>
    <row r="88" spans="1:5" ht="15" customHeight="1">
      <c r="A88" s="85"/>
      <c r="B88" s="95"/>
      <c r="C88" s="13" t="s">
        <v>257</v>
      </c>
      <c r="D88" s="7"/>
      <c r="E88" s="10"/>
    </row>
    <row r="89" spans="1:5" ht="15" customHeight="1">
      <c r="A89" s="86"/>
      <c r="B89" s="96"/>
      <c r="C89" s="13" t="s">
        <v>213</v>
      </c>
      <c r="D89" s="7"/>
      <c r="E89" s="10"/>
    </row>
    <row r="90" spans="1:5" ht="15" customHeight="1">
      <c r="A90" s="84">
        <v>9</v>
      </c>
      <c r="B90" s="87">
        <v>45940</v>
      </c>
      <c r="C90" s="19" t="s">
        <v>106</v>
      </c>
      <c r="D90" s="21"/>
      <c r="E90" s="22">
        <v>6152500</v>
      </c>
    </row>
    <row r="91" spans="1:5" ht="15" customHeight="1">
      <c r="A91" s="85"/>
      <c r="B91" s="88"/>
      <c r="C91" s="20" t="s">
        <v>270</v>
      </c>
      <c r="D91" s="23"/>
      <c r="E91" s="23"/>
    </row>
    <row r="92" spans="1:5" ht="15" customHeight="1">
      <c r="A92" s="85"/>
      <c r="B92" s="88"/>
      <c r="C92" s="20" t="s">
        <v>107</v>
      </c>
      <c r="D92" s="23"/>
      <c r="E92" s="23"/>
    </row>
    <row r="93" spans="1:5" ht="15" customHeight="1">
      <c r="A93" s="85"/>
      <c r="B93" s="88"/>
      <c r="C93" s="20" t="s">
        <v>184</v>
      </c>
      <c r="D93" s="23"/>
      <c r="E93" s="23"/>
    </row>
    <row r="94" spans="1:5" ht="15" customHeight="1">
      <c r="A94" s="85"/>
      <c r="B94" s="88"/>
      <c r="C94" s="11" t="s">
        <v>8</v>
      </c>
      <c r="D94" s="8">
        <v>1749000</v>
      </c>
      <c r="E94" s="10"/>
    </row>
    <row r="95" spans="1:5" ht="15" customHeight="1">
      <c r="A95" s="85"/>
      <c r="B95" s="88"/>
      <c r="C95" s="13" t="s">
        <v>259</v>
      </c>
      <c r="D95" s="7"/>
      <c r="E95" s="10"/>
    </row>
    <row r="96" spans="1:5" ht="15" customHeight="1">
      <c r="A96" s="85"/>
      <c r="B96" s="88"/>
      <c r="C96" s="13" t="s">
        <v>260</v>
      </c>
      <c r="D96" s="7"/>
      <c r="E96" s="10"/>
    </row>
    <row r="97" spans="1:7" ht="15" customHeight="1">
      <c r="A97" s="85"/>
      <c r="B97" s="88"/>
      <c r="C97" s="13" t="s">
        <v>267</v>
      </c>
      <c r="D97" s="7"/>
      <c r="E97" s="10"/>
    </row>
    <row r="98" spans="1:7" ht="15" customHeight="1">
      <c r="A98" s="85"/>
      <c r="B98" s="88"/>
      <c r="C98" s="13" t="s">
        <v>263</v>
      </c>
      <c r="D98" s="7"/>
      <c r="E98" s="10"/>
    </row>
    <row r="99" spans="1:7" ht="15" customHeight="1">
      <c r="A99" s="85"/>
      <c r="B99" s="88"/>
      <c r="C99" s="13" t="s">
        <v>261</v>
      </c>
      <c r="D99" s="7"/>
      <c r="E99" s="10"/>
    </row>
    <row r="100" spans="1:7" ht="15" customHeight="1">
      <c r="A100" s="85"/>
      <c r="B100" s="88"/>
      <c r="C100" s="13" t="s">
        <v>268</v>
      </c>
      <c r="D100" s="7"/>
      <c r="E100" s="10"/>
    </row>
    <row r="101" spans="1:7" ht="15" customHeight="1">
      <c r="A101" s="85"/>
      <c r="B101" s="88"/>
      <c r="C101" s="13" t="s">
        <v>37</v>
      </c>
      <c r="E101" s="10"/>
    </row>
    <row r="102" spans="1:7" ht="15" customHeight="1">
      <c r="A102" s="85"/>
      <c r="B102" s="88"/>
      <c r="C102" s="13" t="s">
        <v>265</v>
      </c>
      <c r="D102" s="9"/>
      <c r="E102" s="10"/>
    </row>
    <row r="103" spans="1:7" ht="15" customHeight="1">
      <c r="A103" s="85"/>
      <c r="B103" s="88"/>
      <c r="C103" s="13" t="s">
        <v>266</v>
      </c>
      <c r="D103" s="9"/>
      <c r="E103" s="10"/>
    </row>
    <row r="104" spans="1:7" ht="15" customHeight="1">
      <c r="A104" s="85"/>
      <c r="B104" s="88"/>
      <c r="C104" s="13" t="s">
        <v>269</v>
      </c>
      <c r="D104" s="9"/>
      <c r="E104" s="10"/>
    </row>
    <row r="105" spans="1:7" ht="15" customHeight="1">
      <c r="A105" s="85"/>
      <c r="B105" s="88"/>
      <c r="C105" s="13" t="s">
        <v>262</v>
      </c>
      <c r="D105" s="7"/>
      <c r="E105" s="10"/>
    </row>
    <row r="106" spans="1:7" ht="15" customHeight="1">
      <c r="A106" s="86"/>
      <c r="B106" s="89"/>
      <c r="C106" s="29" t="s">
        <v>264</v>
      </c>
      <c r="D106" s="7"/>
      <c r="E106" s="10"/>
    </row>
    <row r="107" spans="1:7" ht="15" customHeight="1">
      <c r="A107" s="84">
        <v>10</v>
      </c>
      <c r="B107" s="94">
        <v>45941</v>
      </c>
      <c r="C107" s="11" t="s">
        <v>8</v>
      </c>
      <c r="D107" s="8">
        <v>2560000</v>
      </c>
      <c r="E107" s="10"/>
      <c r="F107" s="31"/>
    </row>
    <row r="108" spans="1:7" ht="15" customHeight="1">
      <c r="A108" s="85"/>
      <c r="B108" s="95"/>
      <c r="C108" s="13" t="s">
        <v>307</v>
      </c>
      <c r="D108" s="7"/>
      <c r="E108" s="10"/>
    </row>
    <row r="109" spans="1:7" ht="15" customHeight="1">
      <c r="A109" s="85"/>
      <c r="B109" s="95"/>
      <c r="C109" s="13" t="s">
        <v>266</v>
      </c>
      <c r="D109" s="7"/>
      <c r="E109" s="10"/>
    </row>
    <row r="110" spans="1:7" ht="15" customHeight="1">
      <c r="A110" s="85"/>
      <c r="B110" s="95"/>
      <c r="C110" s="13" t="s">
        <v>85</v>
      </c>
      <c r="D110" s="7"/>
      <c r="E110" s="10"/>
    </row>
    <row r="111" spans="1:7" ht="15" customHeight="1">
      <c r="A111" s="85"/>
      <c r="B111" s="95"/>
      <c r="C111" s="13" t="s">
        <v>308</v>
      </c>
      <c r="D111" s="7"/>
      <c r="E111" s="10"/>
    </row>
    <row r="112" spans="1:7" ht="15" customHeight="1">
      <c r="A112" s="85"/>
      <c r="B112" s="95"/>
      <c r="C112" s="13" t="s">
        <v>309</v>
      </c>
      <c r="D112" s="7"/>
      <c r="E112" s="10"/>
      <c r="G112" s="31"/>
    </row>
    <row r="113" spans="1:7" ht="15" customHeight="1">
      <c r="A113" s="85"/>
      <c r="B113" s="95"/>
      <c r="C113" s="13" t="s">
        <v>310</v>
      </c>
      <c r="E113" s="10"/>
    </row>
    <row r="114" spans="1:7" ht="15" customHeight="1">
      <c r="A114" s="85"/>
      <c r="B114" s="95"/>
      <c r="C114" s="13" t="s">
        <v>227</v>
      </c>
      <c r="D114" s="9"/>
      <c r="E114" s="10"/>
    </row>
    <row r="115" spans="1:7" ht="15" customHeight="1">
      <c r="A115" s="85"/>
      <c r="B115" s="95"/>
      <c r="C115" s="13" t="s">
        <v>311</v>
      </c>
      <c r="D115" s="9"/>
      <c r="E115" s="10"/>
    </row>
    <row r="116" spans="1:7" ht="15" customHeight="1">
      <c r="A116" s="85"/>
      <c r="B116" s="95"/>
      <c r="C116" s="13" t="s">
        <v>312</v>
      </c>
      <c r="D116" s="7"/>
      <c r="E116" s="10"/>
    </row>
    <row r="117" spans="1:7" ht="15" customHeight="1">
      <c r="A117" s="85"/>
      <c r="B117" s="95"/>
      <c r="C117" s="13" t="s">
        <v>314</v>
      </c>
      <c r="D117" s="7"/>
      <c r="E117" s="10"/>
    </row>
    <row r="118" spans="1:7" ht="15" customHeight="1">
      <c r="A118" s="86"/>
      <c r="B118" s="96"/>
      <c r="C118" s="13" t="s">
        <v>313</v>
      </c>
      <c r="D118" s="7"/>
      <c r="E118" s="10"/>
      <c r="F118" s="31"/>
    </row>
    <row r="119" spans="1:7" ht="15" customHeight="1">
      <c r="A119" s="84">
        <v>11</v>
      </c>
      <c r="B119" s="94">
        <v>45943</v>
      </c>
      <c r="C119" s="11" t="s">
        <v>8</v>
      </c>
      <c r="D119" s="8">
        <v>294000</v>
      </c>
      <c r="E119" s="10"/>
    </row>
    <row r="120" spans="1:7" ht="15" customHeight="1">
      <c r="A120" s="85"/>
      <c r="B120" s="95"/>
      <c r="C120" s="13" t="s">
        <v>274</v>
      </c>
      <c r="D120" s="7"/>
      <c r="E120" s="10"/>
    </row>
    <row r="121" spans="1:7" ht="15" customHeight="1">
      <c r="A121" s="85"/>
      <c r="B121" s="95"/>
      <c r="C121" s="13" t="s">
        <v>271</v>
      </c>
      <c r="D121" s="7"/>
      <c r="E121" s="10"/>
    </row>
    <row r="122" spans="1:7" ht="15" customHeight="1">
      <c r="A122" s="85"/>
      <c r="B122" s="95"/>
      <c r="C122" s="13" t="s">
        <v>275</v>
      </c>
      <c r="D122" s="7"/>
      <c r="E122" s="10"/>
    </row>
    <row r="123" spans="1:7" ht="15" customHeight="1">
      <c r="A123" s="85"/>
      <c r="B123" s="95"/>
      <c r="C123" s="13" t="s">
        <v>67</v>
      </c>
      <c r="D123" s="7"/>
      <c r="E123" s="10"/>
      <c r="G123" s="31"/>
    </row>
    <row r="124" spans="1:7" ht="15" customHeight="1">
      <c r="A124" s="85"/>
      <c r="B124" s="95"/>
      <c r="C124" s="13" t="s">
        <v>273</v>
      </c>
      <c r="D124" s="7"/>
      <c r="E124" s="10"/>
    </row>
    <row r="125" spans="1:7" ht="15" customHeight="1">
      <c r="A125" s="85"/>
      <c r="B125" s="95"/>
      <c r="C125" s="13" t="s">
        <v>272</v>
      </c>
      <c r="E125" s="10"/>
    </row>
    <row r="126" spans="1:7" ht="15" customHeight="1">
      <c r="A126" s="85"/>
      <c r="B126" s="95"/>
      <c r="C126" s="13" t="s">
        <v>207</v>
      </c>
      <c r="D126" s="9"/>
      <c r="E126" s="10"/>
    </row>
    <row r="127" spans="1:7" ht="15" customHeight="1">
      <c r="A127" s="85"/>
      <c r="B127" s="95"/>
      <c r="C127" s="13" t="s">
        <v>276</v>
      </c>
      <c r="D127" s="9"/>
      <c r="E127" s="10"/>
    </row>
    <row r="128" spans="1:7" ht="15" customHeight="1">
      <c r="A128" s="85"/>
      <c r="B128" s="95"/>
      <c r="C128" s="13" t="s">
        <v>244</v>
      </c>
      <c r="D128" s="7"/>
      <c r="E128" s="10"/>
    </row>
    <row r="129" spans="1:5" ht="15" customHeight="1">
      <c r="A129" s="86"/>
      <c r="B129" s="96"/>
      <c r="C129" s="29" t="s">
        <v>264</v>
      </c>
      <c r="D129" s="7"/>
      <c r="E129" s="10"/>
    </row>
    <row r="130" spans="1:5" ht="15" customHeight="1">
      <c r="A130" s="84">
        <v>12</v>
      </c>
      <c r="B130" s="94">
        <v>45944</v>
      </c>
      <c r="C130" s="11" t="s">
        <v>8</v>
      </c>
      <c r="D130" s="8">
        <v>567000</v>
      </c>
      <c r="E130" s="10"/>
    </row>
    <row r="131" spans="1:5" ht="15" customHeight="1">
      <c r="A131" s="85"/>
      <c r="B131" s="95"/>
      <c r="C131" s="13" t="s">
        <v>279</v>
      </c>
      <c r="D131" s="7"/>
      <c r="E131" s="10"/>
    </row>
    <row r="132" spans="1:5" ht="15" customHeight="1">
      <c r="A132" s="85"/>
      <c r="B132" s="95"/>
      <c r="C132" s="13" t="s">
        <v>278</v>
      </c>
      <c r="D132" s="7"/>
      <c r="E132" s="10"/>
    </row>
    <row r="133" spans="1:5" ht="15" customHeight="1">
      <c r="A133" s="85"/>
      <c r="B133" s="95"/>
      <c r="C133" s="13" t="s">
        <v>277</v>
      </c>
      <c r="D133" s="7"/>
      <c r="E133" s="10"/>
    </row>
    <row r="134" spans="1:5" ht="15" customHeight="1">
      <c r="A134" s="85"/>
      <c r="B134" s="95"/>
      <c r="C134" s="13" t="s">
        <v>280</v>
      </c>
      <c r="D134" s="7"/>
      <c r="E134" s="10"/>
    </row>
    <row r="135" spans="1:5" ht="15" customHeight="1">
      <c r="A135" s="85"/>
      <c r="B135" s="95"/>
      <c r="C135" s="13" t="s">
        <v>281</v>
      </c>
      <c r="D135" s="7"/>
      <c r="E135" s="10"/>
    </row>
    <row r="136" spans="1:5" ht="15" customHeight="1">
      <c r="A136" s="85"/>
      <c r="B136" s="95"/>
      <c r="C136" s="13" t="s">
        <v>282</v>
      </c>
      <c r="E136" s="10"/>
    </row>
    <row r="137" spans="1:5" ht="15" customHeight="1">
      <c r="A137" s="85"/>
      <c r="B137" s="95"/>
      <c r="C137" s="13" t="s">
        <v>207</v>
      </c>
      <c r="D137" s="9"/>
      <c r="E137" s="10"/>
    </row>
    <row r="138" spans="1:5" ht="15" customHeight="1">
      <c r="A138" s="85"/>
      <c r="B138" s="95"/>
      <c r="C138" s="13" t="s">
        <v>283</v>
      </c>
      <c r="D138" s="9"/>
      <c r="E138" s="10"/>
    </row>
    <row r="139" spans="1:5" ht="15" customHeight="1">
      <c r="A139" s="85"/>
      <c r="B139" s="95"/>
      <c r="C139" s="13" t="s">
        <v>216</v>
      </c>
      <c r="D139" s="7"/>
      <c r="E139" s="10"/>
    </row>
    <row r="140" spans="1:5" ht="15" customHeight="1">
      <c r="A140" s="86"/>
      <c r="B140" s="96"/>
      <c r="C140" s="29" t="s">
        <v>264</v>
      </c>
      <c r="D140" s="7"/>
      <c r="E140" s="10"/>
    </row>
    <row r="141" spans="1:5" ht="15" customHeight="1">
      <c r="A141" s="84">
        <v>13</v>
      </c>
      <c r="B141" s="94">
        <v>45945</v>
      </c>
      <c r="C141" s="11" t="s">
        <v>8</v>
      </c>
      <c r="D141" s="8">
        <v>363000</v>
      </c>
      <c r="E141" s="10"/>
    </row>
    <row r="142" spans="1:5" ht="15" customHeight="1">
      <c r="A142" s="85"/>
      <c r="B142" s="95"/>
      <c r="C142" s="13" t="s">
        <v>284</v>
      </c>
      <c r="D142" s="7"/>
      <c r="E142" s="10"/>
    </row>
    <row r="143" spans="1:5" ht="15" customHeight="1">
      <c r="A143" s="85"/>
      <c r="B143" s="95"/>
      <c r="C143" s="13" t="s">
        <v>285</v>
      </c>
      <c r="D143" s="7"/>
      <c r="E143" s="10"/>
    </row>
    <row r="144" spans="1:5" ht="15" customHeight="1">
      <c r="A144" s="85"/>
      <c r="B144" s="95"/>
      <c r="C144" s="13" t="s">
        <v>286</v>
      </c>
      <c r="D144" s="7"/>
      <c r="E144" s="10"/>
    </row>
    <row r="145" spans="1:5" ht="15" customHeight="1">
      <c r="A145" s="85"/>
      <c r="B145" s="95"/>
      <c r="C145" s="13" t="s">
        <v>67</v>
      </c>
      <c r="D145" s="7"/>
      <c r="E145" s="10"/>
    </row>
    <row r="146" spans="1:5" ht="15" customHeight="1">
      <c r="A146" s="85"/>
      <c r="B146" s="95"/>
      <c r="C146" s="13" t="s">
        <v>273</v>
      </c>
      <c r="D146" s="7"/>
      <c r="E146" s="10"/>
    </row>
    <row r="147" spans="1:5" ht="15" customHeight="1">
      <c r="A147" s="85"/>
      <c r="B147" s="95"/>
      <c r="C147" s="13" t="s">
        <v>255</v>
      </c>
      <c r="E147" s="10"/>
    </row>
    <row r="148" spans="1:5" ht="15" customHeight="1">
      <c r="A148" s="85"/>
      <c r="B148" s="95"/>
      <c r="C148" s="13" t="s">
        <v>71</v>
      </c>
      <c r="D148" s="9"/>
      <c r="E148" s="10"/>
    </row>
    <row r="149" spans="1:5" ht="15" customHeight="1">
      <c r="A149" s="85"/>
      <c r="B149" s="95"/>
      <c r="C149" s="13" t="s">
        <v>236</v>
      </c>
      <c r="D149" s="7"/>
      <c r="E149" s="10"/>
    </row>
    <row r="150" spans="1:5" ht="15" customHeight="1">
      <c r="A150" s="85"/>
      <c r="B150" s="95"/>
      <c r="C150" s="29" t="s">
        <v>53</v>
      </c>
      <c r="D150" s="7"/>
      <c r="E150" s="10"/>
    </row>
    <row r="151" spans="1:5" ht="15" customHeight="1">
      <c r="A151" s="86"/>
      <c r="B151" s="96"/>
      <c r="C151" s="29" t="s">
        <v>245</v>
      </c>
      <c r="D151" s="7"/>
      <c r="E151" s="10"/>
    </row>
    <row r="152" spans="1:5" ht="15" customHeight="1">
      <c r="A152" s="84">
        <v>14</v>
      </c>
      <c r="B152" s="94">
        <v>45946</v>
      </c>
      <c r="C152" s="11" t="s">
        <v>8</v>
      </c>
      <c r="D152" s="8">
        <v>655000</v>
      </c>
      <c r="E152" s="10"/>
    </row>
    <row r="153" spans="1:5" ht="15" customHeight="1">
      <c r="A153" s="85"/>
      <c r="B153" s="95"/>
      <c r="C153" s="13" t="s">
        <v>258</v>
      </c>
      <c r="D153" s="7"/>
      <c r="E153" s="10"/>
    </row>
    <row r="154" spans="1:5" ht="15" customHeight="1">
      <c r="A154" s="85"/>
      <c r="B154" s="95"/>
      <c r="C154" s="13" t="s">
        <v>267</v>
      </c>
      <c r="D154" s="7"/>
      <c r="E154" s="10"/>
    </row>
    <row r="155" spans="1:5" ht="15" customHeight="1">
      <c r="A155" s="85"/>
      <c r="B155" s="95"/>
      <c r="C155" s="13" t="s">
        <v>291</v>
      </c>
      <c r="D155" s="7"/>
      <c r="E155" s="10"/>
    </row>
    <row r="156" spans="1:5" ht="15" customHeight="1">
      <c r="A156" s="85"/>
      <c r="B156" s="95"/>
      <c r="C156" s="13" t="s">
        <v>287</v>
      </c>
      <c r="D156" s="7"/>
      <c r="E156" s="10"/>
    </row>
    <row r="157" spans="1:5" ht="15" customHeight="1">
      <c r="A157" s="85"/>
      <c r="B157" s="95"/>
      <c r="C157" s="13" t="s">
        <v>281</v>
      </c>
      <c r="D157" s="7"/>
      <c r="E157" s="10"/>
    </row>
    <row r="158" spans="1:5" ht="15" customHeight="1">
      <c r="A158" s="85"/>
      <c r="B158" s="95"/>
      <c r="C158" s="13" t="s">
        <v>37</v>
      </c>
      <c r="E158" s="10"/>
    </row>
    <row r="159" spans="1:5" ht="15" customHeight="1">
      <c r="A159" s="85"/>
      <c r="B159" s="95"/>
      <c r="C159" s="13" t="s">
        <v>190</v>
      </c>
      <c r="D159" s="9"/>
      <c r="E159" s="10"/>
    </row>
    <row r="160" spans="1:5" ht="15" customHeight="1">
      <c r="A160" s="85"/>
      <c r="B160" s="95"/>
      <c r="C160" s="13" t="s">
        <v>288</v>
      </c>
      <c r="D160" s="7"/>
      <c r="E160" s="10"/>
    </row>
    <row r="161" spans="1:5" ht="15" customHeight="1">
      <c r="A161" s="85"/>
      <c r="B161" s="95"/>
      <c r="C161" s="29" t="s">
        <v>289</v>
      </c>
      <c r="D161" s="7"/>
      <c r="E161" s="10"/>
    </row>
    <row r="162" spans="1:5" ht="15" customHeight="1">
      <c r="A162" s="85"/>
      <c r="B162" s="95"/>
      <c r="C162" s="13" t="s">
        <v>207</v>
      </c>
      <c r="D162" s="7"/>
      <c r="E162" s="10"/>
    </row>
    <row r="163" spans="1:5" ht="15" customHeight="1">
      <c r="A163" s="86"/>
      <c r="B163" s="96"/>
      <c r="C163" s="13" t="s">
        <v>290</v>
      </c>
      <c r="D163" s="7"/>
      <c r="E163" s="10"/>
    </row>
    <row r="164" spans="1:5" ht="15" customHeight="1">
      <c r="A164" s="84">
        <v>15</v>
      </c>
      <c r="B164" s="94">
        <v>45947</v>
      </c>
      <c r="C164" s="11" t="s">
        <v>8</v>
      </c>
      <c r="D164" s="8">
        <v>990000</v>
      </c>
      <c r="E164" s="10"/>
    </row>
    <row r="165" spans="1:5" ht="15" customHeight="1">
      <c r="A165" s="85"/>
      <c r="B165" s="95"/>
      <c r="C165" s="13" t="s">
        <v>267</v>
      </c>
      <c r="D165" s="7"/>
      <c r="E165" s="10"/>
    </row>
    <row r="166" spans="1:5" ht="15" customHeight="1">
      <c r="A166" s="85"/>
      <c r="B166" s="95"/>
      <c r="C166" s="13" t="s">
        <v>57</v>
      </c>
      <c r="D166" s="7"/>
      <c r="E166" s="10"/>
    </row>
    <row r="167" spans="1:5" ht="15" customHeight="1">
      <c r="A167" s="85"/>
      <c r="B167" s="95"/>
      <c r="C167" s="13" t="s">
        <v>222</v>
      </c>
      <c r="D167" s="7"/>
      <c r="E167" s="10"/>
    </row>
    <row r="168" spans="1:5" ht="15" customHeight="1">
      <c r="A168" s="85"/>
      <c r="B168" s="95"/>
      <c r="C168" s="13" t="s">
        <v>215</v>
      </c>
      <c r="E168" s="10"/>
    </row>
    <row r="169" spans="1:5" ht="15" customHeight="1">
      <c r="A169" s="85"/>
      <c r="B169" s="95"/>
      <c r="C169" s="13" t="s">
        <v>181</v>
      </c>
      <c r="D169" s="9"/>
      <c r="E169" s="10"/>
    </row>
    <row r="170" spans="1:5" ht="15" customHeight="1">
      <c r="A170" s="85"/>
      <c r="B170" s="95"/>
      <c r="C170" s="13" t="s">
        <v>292</v>
      </c>
      <c r="D170" s="7"/>
      <c r="E170" s="10"/>
    </row>
    <row r="171" spans="1:5" ht="15" customHeight="1">
      <c r="A171" s="85"/>
      <c r="B171" s="95"/>
      <c r="C171" s="29" t="s">
        <v>249</v>
      </c>
      <c r="D171" s="7"/>
      <c r="E171" s="10"/>
    </row>
    <row r="172" spans="1:5" ht="15" customHeight="1">
      <c r="A172" s="85"/>
      <c r="B172" s="95"/>
      <c r="C172" s="13" t="s">
        <v>207</v>
      </c>
      <c r="D172" s="7"/>
      <c r="E172" s="10"/>
    </row>
    <row r="173" spans="1:5" ht="15" customHeight="1">
      <c r="A173" s="86"/>
      <c r="B173" s="96"/>
      <c r="C173" s="13" t="s">
        <v>269</v>
      </c>
      <c r="D173" s="7"/>
      <c r="E173" s="10"/>
    </row>
    <row r="174" spans="1:5" ht="15" customHeight="1">
      <c r="A174" s="84">
        <v>16</v>
      </c>
      <c r="B174" s="94">
        <v>45949</v>
      </c>
      <c r="C174" s="11" t="s">
        <v>8</v>
      </c>
      <c r="D174" s="8">
        <v>286000</v>
      </c>
      <c r="E174" s="10"/>
    </row>
    <row r="175" spans="1:5" ht="15" customHeight="1">
      <c r="A175" s="85"/>
      <c r="B175" s="95"/>
      <c r="C175" s="13" t="s">
        <v>295</v>
      </c>
      <c r="D175" s="7"/>
      <c r="E175" s="10"/>
    </row>
    <row r="176" spans="1:5" ht="15" customHeight="1">
      <c r="A176" s="85"/>
      <c r="B176" s="95"/>
      <c r="C176" s="13" t="s">
        <v>273</v>
      </c>
      <c r="D176" s="7"/>
      <c r="E176" s="10"/>
    </row>
    <row r="177" spans="1:5" ht="15" customHeight="1">
      <c r="A177" s="85"/>
      <c r="B177" s="95"/>
      <c r="C177" s="13" t="s">
        <v>37</v>
      </c>
      <c r="E177" s="10"/>
    </row>
    <row r="178" spans="1:5" ht="15" customHeight="1">
      <c r="A178" s="85"/>
      <c r="B178" s="95"/>
      <c r="C178" s="13" t="s">
        <v>296</v>
      </c>
      <c r="D178" s="9"/>
      <c r="E178" s="10"/>
    </row>
    <row r="179" spans="1:5" ht="15" customHeight="1">
      <c r="A179" s="85"/>
      <c r="B179" s="95"/>
      <c r="C179" s="13" t="s">
        <v>288</v>
      </c>
      <c r="D179" s="7"/>
      <c r="E179" s="10"/>
    </row>
    <row r="180" spans="1:5" ht="15" customHeight="1">
      <c r="A180" s="85"/>
      <c r="B180" s="95"/>
      <c r="C180" s="29" t="s">
        <v>264</v>
      </c>
      <c r="D180" s="7"/>
      <c r="E180" s="10"/>
    </row>
    <row r="181" spans="1:5" ht="15" customHeight="1">
      <c r="A181" s="85"/>
      <c r="B181" s="95"/>
      <c r="C181" s="13" t="s">
        <v>297</v>
      </c>
      <c r="D181" s="7"/>
      <c r="E181" s="10"/>
    </row>
    <row r="182" spans="1:5" ht="15" customHeight="1">
      <c r="A182" s="84">
        <v>17</v>
      </c>
      <c r="B182" s="94">
        <v>45950</v>
      </c>
      <c r="C182" s="11" t="s">
        <v>8</v>
      </c>
      <c r="D182" s="8">
        <v>101000</v>
      </c>
      <c r="E182" s="10"/>
    </row>
    <row r="183" spans="1:5" ht="15" customHeight="1">
      <c r="A183" s="85"/>
      <c r="B183" s="95"/>
      <c r="C183" s="13" t="s">
        <v>67</v>
      </c>
      <c r="D183" s="7"/>
      <c r="E183" s="10"/>
    </row>
    <row r="184" spans="1:5" ht="15" customHeight="1">
      <c r="A184" s="85"/>
      <c r="B184" s="95"/>
      <c r="C184" s="13" t="s">
        <v>272</v>
      </c>
      <c r="E184" s="10"/>
    </row>
    <row r="185" spans="1:5" ht="15" customHeight="1">
      <c r="A185" s="85"/>
      <c r="B185" s="95"/>
      <c r="C185" s="13" t="s">
        <v>298</v>
      </c>
      <c r="D185" s="7"/>
      <c r="E185" s="10"/>
    </row>
    <row r="186" spans="1:5" ht="15" customHeight="1">
      <c r="A186" s="86"/>
      <c r="B186" s="96"/>
      <c r="C186" s="29" t="s">
        <v>245</v>
      </c>
      <c r="D186" s="7"/>
      <c r="E186" s="10"/>
    </row>
    <row r="187" spans="1:5" ht="15" customHeight="1">
      <c r="A187" s="84">
        <v>18</v>
      </c>
      <c r="B187" s="94">
        <v>45951</v>
      </c>
      <c r="C187" s="11" t="s">
        <v>8</v>
      </c>
      <c r="D187" s="8">
        <v>463000</v>
      </c>
      <c r="E187" s="10"/>
    </row>
    <row r="188" spans="1:5" ht="15" customHeight="1">
      <c r="A188" s="85"/>
      <c r="B188" s="95"/>
      <c r="C188" s="13" t="s">
        <v>295</v>
      </c>
      <c r="D188" s="7"/>
      <c r="E188" s="10"/>
    </row>
    <row r="189" spans="1:5" ht="15" customHeight="1">
      <c r="A189" s="85"/>
      <c r="B189" s="95"/>
      <c r="C189" s="13" t="s">
        <v>215</v>
      </c>
      <c r="E189" s="10"/>
    </row>
    <row r="190" spans="1:5" ht="15" customHeight="1">
      <c r="A190" s="85"/>
      <c r="B190" s="95"/>
      <c r="C190" s="13" t="s">
        <v>299</v>
      </c>
      <c r="D190" s="7"/>
      <c r="E190" s="10"/>
    </row>
    <row r="191" spans="1:5" ht="15" customHeight="1">
      <c r="A191" s="85"/>
      <c r="B191" s="95"/>
      <c r="C191" s="29" t="s">
        <v>300</v>
      </c>
      <c r="D191" s="7"/>
      <c r="E191" s="10"/>
    </row>
    <row r="192" spans="1:5" ht="15" customHeight="1">
      <c r="A192" s="86"/>
      <c r="B192" s="96"/>
      <c r="C192" s="29" t="s">
        <v>254</v>
      </c>
      <c r="D192" s="7"/>
      <c r="E192" s="10"/>
    </row>
    <row r="193" spans="1:5" ht="15" customHeight="1">
      <c r="A193" s="84">
        <v>19</v>
      </c>
      <c r="B193" s="94">
        <v>45952</v>
      </c>
      <c r="C193" s="11" t="s">
        <v>8</v>
      </c>
      <c r="D193" s="8">
        <v>202000</v>
      </c>
      <c r="E193" s="10"/>
    </row>
    <row r="194" spans="1:5" ht="15" customHeight="1">
      <c r="A194" s="85"/>
      <c r="B194" s="95"/>
      <c r="C194" s="13" t="s">
        <v>213</v>
      </c>
      <c r="D194" s="7"/>
      <c r="E194" s="10"/>
    </row>
    <row r="195" spans="1:5" ht="15" customHeight="1">
      <c r="A195" s="85"/>
      <c r="B195" s="95"/>
      <c r="C195" s="13" t="s">
        <v>224</v>
      </c>
      <c r="D195" s="7"/>
      <c r="E195" s="10"/>
    </row>
    <row r="196" spans="1:5" ht="15" customHeight="1">
      <c r="A196" s="85"/>
      <c r="B196" s="95"/>
      <c r="C196" s="29" t="s">
        <v>296</v>
      </c>
      <c r="D196" s="7"/>
      <c r="E196" s="10"/>
    </row>
    <row r="197" spans="1:5" ht="15" customHeight="1">
      <c r="A197" s="85"/>
      <c r="B197" s="95"/>
      <c r="C197" s="29" t="s">
        <v>289</v>
      </c>
      <c r="D197" s="7"/>
      <c r="E197" s="10"/>
    </row>
    <row r="198" spans="1:5" ht="15" customHeight="1">
      <c r="A198" s="86"/>
      <c r="B198" s="96"/>
      <c r="C198" s="13" t="s">
        <v>204</v>
      </c>
      <c r="D198" s="7"/>
      <c r="E198" s="10"/>
    </row>
    <row r="199" spans="1:5" ht="15" customHeight="1">
      <c r="A199" s="84">
        <v>20</v>
      </c>
      <c r="B199" s="94">
        <v>45953</v>
      </c>
      <c r="C199" s="11" t="s">
        <v>8</v>
      </c>
      <c r="D199" s="8">
        <v>328000</v>
      </c>
      <c r="E199" s="10"/>
    </row>
    <row r="200" spans="1:5" ht="15" customHeight="1">
      <c r="A200" s="85"/>
      <c r="B200" s="95"/>
      <c r="C200" s="13" t="s">
        <v>213</v>
      </c>
      <c r="D200" s="7"/>
      <c r="E200" s="10"/>
    </row>
    <row r="201" spans="1:5" ht="15" customHeight="1">
      <c r="A201" s="85"/>
      <c r="B201" s="95"/>
      <c r="C201" s="13" t="s">
        <v>301</v>
      </c>
      <c r="D201" s="7"/>
      <c r="E201" s="10"/>
    </row>
    <row r="202" spans="1:5" ht="15" customHeight="1">
      <c r="A202" s="85"/>
      <c r="B202" s="95"/>
      <c r="C202" s="29" t="s">
        <v>302</v>
      </c>
      <c r="D202" s="7"/>
      <c r="E202" s="10"/>
    </row>
    <row r="203" spans="1:5" ht="15" customHeight="1">
      <c r="A203" s="85"/>
      <c r="B203" s="95"/>
      <c r="C203" s="13" t="s">
        <v>215</v>
      </c>
      <c r="D203" s="7"/>
      <c r="E203" s="10"/>
    </row>
    <row r="204" spans="1:5" ht="15" customHeight="1">
      <c r="A204" s="86"/>
      <c r="B204" s="96"/>
      <c r="C204" s="13" t="s">
        <v>289</v>
      </c>
      <c r="D204" s="7"/>
      <c r="E204" s="10"/>
    </row>
    <row r="205" spans="1:5" ht="15" customHeight="1">
      <c r="A205" s="84">
        <v>21</v>
      </c>
      <c r="B205" s="94">
        <v>45954</v>
      </c>
      <c r="C205" s="11" t="s">
        <v>8</v>
      </c>
      <c r="D205" s="8">
        <v>665000</v>
      </c>
      <c r="E205" s="10"/>
    </row>
    <row r="206" spans="1:5" ht="15" customHeight="1">
      <c r="A206" s="85"/>
      <c r="B206" s="95"/>
      <c r="C206" s="13" t="s">
        <v>303</v>
      </c>
      <c r="D206" s="7"/>
      <c r="E206" s="10"/>
    </row>
    <row r="207" spans="1:5" ht="15" customHeight="1">
      <c r="A207" s="85"/>
      <c r="B207" s="95"/>
      <c r="C207" s="13" t="s">
        <v>304</v>
      </c>
      <c r="D207" s="7"/>
      <c r="E207" s="10"/>
    </row>
    <row r="208" spans="1:5" ht="15" customHeight="1">
      <c r="A208" s="85"/>
      <c r="B208" s="95"/>
      <c r="C208" s="13" t="s">
        <v>305</v>
      </c>
      <c r="D208" s="7"/>
      <c r="E208" s="10"/>
    </row>
    <row r="209" spans="1:5" ht="15" customHeight="1">
      <c r="A209" s="85"/>
      <c r="B209" s="95"/>
      <c r="C209" s="29" t="s">
        <v>302</v>
      </c>
      <c r="D209" s="7"/>
      <c r="E209" s="10"/>
    </row>
    <row r="210" spans="1:5" ht="15" customHeight="1">
      <c r="A210" s="85"/>
      <c r="B210" s="95"/>
      <c r="C210" s="13" t="s">
        <v>37</v>
      </c>
      <c r="D210" s="7"/>
      <c r="E210" s="10"/>
    </row>
    <row r="211" spans="1:5" ht="15" customHeight="1">
      <c r="A211" s="86"/>
      <c r="B211" s="96"/>
      <c r="C211" s="13" t="s">
        <v>306</v>
      </c>
      <c r="D211" s="7"/>
      <c r="E211" s="10"/>
    </row>
    <row r="212" spans="1:5" ht="15" customHeight="1">
      <c r="A212" s="84">
        <v>22</v>
      </c>
      <c r="B212" s="87">
        <v>45957</v>
      </c>
      <c r="C212" s="19" t="s">
        <v>106</v>
      </c>
      <c r="D212" s="21"/>
      <c r="E212" s="22">
        <v>6607500</v>
      </c>
    </row>
    <row r="213" spans="1:5" ht="15" customHeight="1">
      <c r="A213" s="85"/>
      <c r="B213" s="88"/>
      <c r="C213" s="20" t="s">
        <v>315</v>
      </c>
      <c r="D213" s="23"/>
      <c r="E213" s="23"/>
    </row>
    <row r="214" spans="1:5" ht="15" customHeight="1">
      <c r="A214" s="85"/>
      <c r="B214" s="88"/>
      <c r="C214" s="20" t="s">
        <v>107</v>
      </c>
      <c r="D214" s="23"/>
      <c r="E214" s="23"/>
    </row>
    <row r="215" spans="1:5" ht="15" customHeight="1">
      <c r="A215" s="85"/>
      <c r="B215" s="88"/>
      <c r="C215" s="20" t="s">
        <v>184</v>
      </c>
      <c r="D215" s="23"/>
      <c r="E215" s="23"/>
    </row>
    <row r="216" spans="1:5" ht="15" customHeight="1">
      <c r="A216" s="85"/>
      <c r="B216" s="88"/>
      <c r="C216" s="11" t="s">
        <v>8</v>
      </c>
      <c r="D216" s="8">
        <v>1744000</v>
      </c>
      <c r="E216" s="10"/>
    </row>
    <row r="217" spans="1:5" ht="15" customHeight="1">
      <c r="A217" s="85"/>
      <c r="B217" s="88"/>
      <c r="C217" s="13" t="s">
        <v>246</v>
      </c>
      <c r="D217" s="7"/>
      <c r="E217" s="10"/>
    </row>
    <row r="218" spans="1:5" ht="15" customHeight="1">
      <c r="A218" s="85"/>
      <c r="B218" s="88"/>
      <c r="C218" s="13" t="s">
        <v>316</v>
      </c>
      <c r="D218" s="7"/>
      <c r="E218" s="10"/>
    </row>
    <row r="219" spans="1:5" ht="15" customHeight="1">
      <c r="A219" s="85"/>
      <c r="B219" s="88"/>
      <c r="C219" s="13" t="s">
        <v>317</v>
      </c>
      <c r="D219" s="7"/>
      <c r="E219" s="10"/>
    </row>
    <row r="220" spans="1:5" ht="15" customHeight="1">
      <c r="A220" s="85"/>
      <c r="B220" s="88"/>
      <c r="C220" s="13" t="s">
        <v>318</v>
      </c>
      <c r="D220" s="7"/>
      <c r="E220" s="10"/>
    </row>
    <row r="221" spans="1:5" ht="15" customHeight="1">
      <c r="A221" s="85"/>
      <c r="B221" s="88"/>
      <c r="C221" s="13" t="s">
        <v>319</v>
      </c>
      <c r="D221" s="7"/>
      <c r="E221" s="10"/>
    </row>
    <row r="222" spans="1:5" ht="15" customHeight="1">
      <c r="A222" s="85"/>
      <c r="B222" s="88"/>
      <c r="C222" s="13" t="s">
        <v>309</v>
      </c>
      <c r="E222" s="10"/>
    </row>
    <row r="223" spans="1:5" ht="15" customHeight="1">
      <c r="A223" s="85"/>
      <c r="B223" s="88"/>
      <c r="C223" s="13" t="s">
        <v>320</v>
      </c>
      <c r="D223" s="9"/>
      <c r="E223" s="10"/>
    </row>
    <row r="224" spans="1:5" ht="15" customHeight="1">
      <c r="A224" s="85"/>
      <c r="B224" s="88"/>
      <c r="C224" s="13" t="s">
        <v>321</v>
      </c>
      <c r="D224" s="9"/>
      <c r="E224" s="10"/>
    </row>
    <row r="225" spans="1:5" ht="15" customHeight="1">
      <c r="A225" s="85"/>
      <c r="B225" s="88"/>
      <c r="C225" s="13" t="s">
        <v>322</v>
      </c>
      <c r="D225" s="9"/>
      <c r="E225" s="10"/>
    </row>
    <row r="226" spans="1:5" ht="15" customHeight="1">
      <c r="A226" s="85"/>
      <c r="B226" s="88"/>
      <c r="C226" s="13" t="s">
        <v>323</v>
      </c>
      <c r="D226" s="7"/>
      <c r="E226" s="10"/>
    </row>
    <row r="227" spans="1:5" ht="15" customHeight="1">
      <c r="A227" s="86"/>
      <c r="B227" s="89"/>
      <c r="C227" s="29" t="s">
        <v>306</v>
      </c>
      <c r="D227" s="7"/>
      <c r="E227" s="10"/>
    </row>
    <row r="228" spans="1:5" ht="15" customHeight="1">
      <c r="A228" s="84">
        <v>23</v>
      </c>
      <c r="B228" s="94">
        <v>45958</v>
      </c>
      <c r="C228" s="11" t="s">
        <v>8</v>
      </c>
      <c r="D228" s="8">
        <v>247000</v>
      </c>
      <c r="E228" s="10"/>
    </row>
    <row r="229" spans="1:5" ht="15" customHeight="1">
      <c r="A229" s="85"/>
      <c r="B229" s="95"/>
      <c r="C229" s="13" t="s">
        <v>207</v>
      </c>
      <c r="D229" s="7"/>
      <c r="E229" s="10"/>
    </row>
    <row r="230" spans="1:5" ht="15" customHeight="1">
      <c r="A230" s="85"/>
      <c r="B230" s="95"/>
      <c r="C230" s="13" t="s">
        <v>243</v>
      </c>
      <c r="D230" s="7"/>
      <c r="E230" s="10"/>
    </row>
    <row r="231" spans="1:5" ht="15" customHeight="1">
      <c r="A231" s="85"/>
      <c r="B231" s="95"/>
      <c r="C231" s="13" t="s">
        <v>271</v>
      </c>
      <c r="D231" s="7"/>
      <c r="E231" s="10"/>
    </row>
    <row r="232" spans="1:5" ht="15" customHeight="1">
      <c r="A232" s="85"/>
      <c r="B232" s="95"/>
      <c r="C232" s="13" t="s">
        <v>10</v>
      </c>
      <c r="D232" s="7"/>
      <c r="E232" s="10"/>
    </row>
    <row r="233" spans="1:5" ht="15" customHeight="1">
      <c r="A233" s="85"/>
      <c r="B233" s="95"/>
      <c r="C233" s="13" t="s">
        <v>327</v>
      </c>
      <c r="D233" s="7"/>
      <c r="E233" s="10"/>
    </row>
    <row r="234" spans="1:5" ht="15" customHeight="1">
      <c r="A234" s="85"/>
      <c r="B234" s="95"/>
      <c r="C234" s="13" t="s">
        <v>328</v>
      </c>
      <c r="D234" s="9"/>
      <c r="E234" s="10"/>
    </row>
    <row r="235" spans="1:5" ht="15" customHeight="1">
      <c r="A235" s="85"/>
      <c r="B235" s="95"/>
      <c r="C235" s="13" t="s">
        <v>255</v>
      </c>
      <c r="D235" s="9"/>
      <c r="E235" s="10"/>
    </row>
    <row r="236" spans="1:5" ht="15" customHeight="1">
      <c r="A236" s="85"/>
      <c r="B236" s="95"/>
      <c r="C236" s="13" t="s">
        <v>329</v>
      </c>
      <c r="D236" s="9"/>
      <c r="E236" s="10"/>
    </row>
    <row r="237" spans="1:5" ht="15" customHeight="1">
      <c r="A237" s="85"/>
      <c r="B237" s="95"/>
      <c r="C237" s="13" t="s">
        <v>330</v>
      </c>
      <c r="D237" s="9"/>
      <c r="E237" s="10"/>
    </row>
    <row r="238" spans="1:5" ht="15" customHeight="1">
      <c r="A238" s="85"/>
      <c r="B238" s="95"/>
      <c r="C238" s="13" t="s">
        <v>295</v>
      </c>
      <c r="D238" s="7"/>
      <c r="E238" s="10"/>
    </row>
    <row r="239" spans="1:5" ht="15" customHeight="1">
      <c r="A239" s="85">
        <v>24</v>
      </c>
      <c r="B239" s="88">
        <v>45959</v>
      </c>
      <c r="C239" s="11" t="s">
        <v>8</v>
      </c>
      <c r="D239" s="8">
        <v>178000</v>
      </c>
      <c r="E239" s="10"/>
    </row>
    <row r="240" spans="1:5" ht="15" customHeight="1">
      <c r="A240" s="85"/>
      <c r="B240" s="88"/>
      <c r="C240" s="13" t="s">
        <v>324</v>
      </c>
      <c r="D240" s="7"/>
      <c r="E240" s="10"/>
    </row>
    <row r="241" spans="1:5" ht="15" customHeight="1">
      <c r="A241" s="85"/>
      <c r="B241" s="88"/>
      <c r="C241" s="13" t="s">
        <v>271</v>
      </c>
      <c r="D241" s="7"/>
      <c r="E241" s="10"/>
    </row>
    <row r="242" spans="1:5" ht="15" customHeight="1">
      <c r="A242" s="85"/>
      <c r="B242" s="88"/>
      <c r="C242" s="13" t="s">
        <v>325</v>
      </c>
      <c r="D242" s="7"/>
      <c r="E242" s="10"/>
    </row>
    <row r="243" spans="1:5" ht="15" customHeight="1">
      <c r="A243" s="85"/>
      <c r="B243" s="88"/>
      <c r="C243" s="13" t="s">
        <v>27</v>
      </c>
      <c r="D243" s="7"/>
      <c r="E243" s="10"/>
    </row>
    <row r="244" spans="1:5" ht="15" customHeight="1">
      <c r="A244" s="85"/>
      <c r="B244" s="88"/>
      <c r="C244" s="13" t="s">
        <v>243</v>
      </c>
      <c r="D244" s="7"/>
      <c r="E244" s="10"/>
    </row>
    <row r="245" spans="1:5" ht="15" customHeight="1">
      <c r="A245" s="85"/>
      <c r="B245" s="88"/>
      <c r="C245" s="13" t="s">
        <v>326</v>
      </c>
      <c r="D245" s="9"/>
      <c r="E245" s="10"/>
    </row>
    <row r="246" spans="1:5" ht="15" customHeight="1">
      <c r="A246" s="85"/>
      <c r="B246" s="88"/>
      <c r="C246" s="13" t="s">
        <v>53</v>
      </c>
      <c r="D246" s="9"/>
      <c r="E246" s="10"/>
    </row>
    <row r="247" spans="1:5" ht="15" customHeight="1">
      <c r="A247" s="85"/>
      <c r="B247" s="88"/>
      <c r="C247" s="13" t="s">
        <v>289</v>
      </c>
      <c r="D247" s="7"/>
      <c r="E247" s="10"/>
    </row>
    <row r="248" spans="1:5" ht="15" customHeight="1">
      <c r="A248" s="85">
        <v>25</v>
      </c>
      <c r="B248" s="95">
        <v>45960</v>
      </c>
      <c r="C248" s="11" t="s">
        <v>8</v>
      </c>
      <c r="D248" s="8">
        <v>811000</v>
      </c>
      <c r="E248" s="10"/>
    </row>
    <row r="249" spans="1:5" ht="15" customHeight="1">
      <c r="A249" s="85"/>
      <c r="B249" s="95"/>
      <c r="C249" s="13" t="s">
        <v>75</v>
      </c>
      <c r="D249" s="7"/>
      <c r="E249" s="10"/>
    </row>
    <row r="250" spans="1:5" ht="15" customHeight="1">
      <c r="A250" s="85"/>
      <c r="B250" s="95"/>
      <c r="C250" s="13" t="s">
        <v>301</v>
      </c>
      <c r="D250" s="7"/>
      <c r="E250" s="10"/>
    </row>
    <row r="251" spans="1:5" ht="15" customHeight="1">
      <c r="A251" s="85"/>
      <c r="B251" s="95"/>
      <c r="C251" s="13" t="s">
        <v>254</v>
      </c>
      <c r="D251" s="7"/>
      <c r="E251" s="10"/>
    </row>
    <row r="252" spans="1:5" ht="15" customHeight="1">
      <c r="A252" s="85"/>
      <c r="B252" s="95"/>
      <c r="C252" s="13" t="s">
        <v>211</v>
      </c>
      <c r="D252" s="7"/>
      <c r="E252" s="10"/>
    </row>
    <row r="253" spans="1:5" ht="15" customHeight="1">
      <c r="A253" s="85"/>
      <c r="B253" s="95"/>
      <c r="C253" s="13" t="s">
        <v>222</v>
      </c>
      <c r="D253" s="7"/>
      <c r="E253" s="10"/>
    </row>
    <row r="254" spans="1:5" ht="15" customHeight="1">
      <c r="A254" s="85"/>
      <c r="B254" s="95"/>
      <c r="C254" s="13" t="s">
        <v>30</v>
      </c>
      <c r="D254" s="9"/>
      <c r="E254" s="10"/>
    </row>
    <row r="255" spans="1:5" ht="15" customHeight="1">
      <c r="A255" s="85"/>
      <c r="B255" s="95"/>
      <c r="C255" s="13" t="s">
        <v>221</v>
      </c>
      <c r="D255" s="9"/>
      <c r="E255" s="10"/>
    </row>
    <row r="256" spans="1:5" ht="15" customHeight="1">
      <c r="A256" s="85"/>
      <c r="B256" s="95"/>
      <c r="C256" s="13" t="s">
        <v>215</v>
      </c>
      <c r="D256" s="9"/>
      <c r="E256" s="10"/>
    </row>
    <row r="257" spans="1:5" ht="15" customHeight="1">
      <c r="A257" s="85"/>
      <c r="B257" s="95"/>
      <c r="C257" s="13" t="s">
        <v>257</v>
      </c>
      <c r="D257" s="9"/>
      <c r="E257" s="10"/>
    </row>
    <row r="258" spans="1:5" ht="15" customHeight="1">
      <c r="A258" s="86"/>
      <c r="B258" s="96"/>
      <c r="C258" s="13" t="s">
        <v>295</v>
      </c>
      <c r="D258" s="7"/>
      <c r="E258" s="10"/>
    </row>
    <row r="259" spans="1:5" ht="15" customHeight="1">
      <c r="A259" s="84">
        <v>26</v>
      </c>
      <c r="B259" s="87">
        <v>45961</v>
      </c>
      <c r="C259" s="19" t="s">
        <v>106</v>
      </c>
      <c r="D259" s="21"/>
      <c r="E259" s="22">
        <v>4446300</v>
      </c>
    </row>
    <row r="260" spans="1:5" ht="15" customHeight="1">
      <c r="A260" s="85"/>
      <c r="B260" s="88"/>
      <c r="C260" s="20" t="s">
        <v>331</v>
      </c>
      <c r="D260" s="23"/>
      <c r="E260" s="23"/>
    </row>
    <row r="261" spans="1:5" ht="15" customHeight="1">
      <c r="A261" s="85"/>
      <c r="B261" s="88"/>
      <c r="C261" s="20" t="s">
        <v>107</v>
      </c>
      <c r="D261" s="23"/>
      <c r="E261" s="23"/>
    </row>
    <row r="262" spans="1:5" ht="15" customHeight="1">
      <c r="A262" s="85"/>
      <c r="B262" s="88"/>
      <c r="C262" s="20" t="s">
        <v>183</v>
      </c>
      <c r="D262" s="23"/>
      <c r="E262" s="23"/>
    </row>
    <row r="263" spans="1:5" ht="15" customHeight="1">
      <c r="A263" s="85"/>
      <c r="B263" s="88"/>
      <c r="C263" s="20" t="s">
        <v>184</v>
      </c>
      <c r="D263" s="23"/>
      <c r="E263" s="23"/>
    </row>
    <row r="264" spans="1:5" ht="15" customHeight="1">
      <c r="A264" s="85"/>
      <c r="B264" s="88"/>
      <c r="C264" s="11" t="s">
        <v>8</v>
      </c>
      <c r="D264" s="8">
        <v>941000</v>
      </c>
      <c r="E264" s="10"/>
    </row>
    <row r="265" spans="1:5" ht="15" customHeight="1">
      <c r="A265" s="85"/>
      <c r="B265" s="88"/>
      <c r="C265" s="13" t="s">
        <v>221</v>
      </c>
      <c r="D265" s="7"/>
      <c r="E265" s="10"/>
    </row>
    <row r="266" spans="1:5" ht="15" customHeight="1">
      <c r="A266" s="85"/>
      <c r="B266" s="88"/>
      <c r="C266" s="13" t="s">
        <v>332</v>
      </c>
      <c r="D266" s="7"/>
      <c r="E266" s="10"/>
    </row>
    <row r="267" spans="1:5" ht="15" customHeight="1">
      <c r="A267" s="85"/>
      <c r="B267" s="88"/>
      <c r="C267" s="13" t="s">
        <v>333</v>
      </c>
      <c r="D267" s="7"/>
      <c r="E267" s="10"/>
    </row>
    <row r="268" spans="1:5" ht="15" customHeight="1">
      <c r="A268" s="85"/>
      <c r="B268" s="88"/>
      <c r="C268" s="13" t="s">
        <v>280</v>
      </c>
      <c r="D268" s="7"/>
      <c r="E268" s="10"/>
    </row>
    <row r="269" spans="1:5" ht="15" customHeight="1">
      <c r="A269" s="85"/>
      <c r="B269" s="88"/>
      <c r="C269" s="13" t="s">
        <v>222</v>
      </c>
      <c r="D269" s="7"/>
      <c r="E269" s="10"/>
    </row>
    <row r="270" spans="1:5" ht="15" customHeight="1">
      <c r="A270" s="85"/>
      <c r="B270" s="88"/>
      <c r="C270" s="13" t="s">
        <v>334</v>
      </c>
      <c r="E270" s="10"/>
    </row>
    <row r="271" spans="1:5" ht="15" customHeight="1">
      <c r="A271" s="85"/>
      <c r="B271" s="88"/>
      <c r="C271" s="13" t="s">
        <v>207</v>
      </c>
      <c r="D271" s="9"/>
      <c r="E271" s="10"/>
    </row>
    <row r="272" spans="1:5" ht="15" customHeight="1">
      <c r="A272" s="85"/>
      <c r="B272" s="88"/>
      <c r="C272" s="13" t="s">
        <v>335</v>
      </c>
      <c r="D272" s="9"/>
      <c r="E272" s="10"/>
    </row>
    <row r="273" spans="1:5" ht="15" customHeight="1">
      <c r="A273" s="85"/>
      <c r="B273" s="88"/>
      <c r="C273" s="13" t="s">
        <v>53</v>
      </c>
      <c r="D273" s="9"/>
      <c r="E273" s="10"/>
    </row>
    <row r="274" spans="1:5" ht="15" customHeight="1">
      <c r="A274" s="86"/>
      <c r="B274" s="89"/>
      <c r="C274" s="13" t="s">
        <v>336</v>
      </c>
      <c r="D274" s="7"/>
      <c r="E274" s="10"/>
    </row>
    <row r="275" spans="1:5" ht="15" customHeight="1">
      <c r="A275" s="26"/>
      <c r="B275" s="27"/>
      <c r="D275" s="9"/>
      <c r="E275" s="7"/>
    </row>
    <row r="276" spans="1:5" ht="15" customHeight="1">
      <c r="A276" s="90" t="s">
        <v>13</v>
      </c>
      <c r="B276" s="91"/>
      <c r="C276" s="13"/>
      <c r="D276" s="10">
        <f>SUM(D10+D78+D35+D22+D48+D70+D60+D86+D94+D199+D130+D141+D152+D119+D164+D174+D182+D187+D205+D193+D107+D216+D228+D248+D239+D264)</f>
        <v>20155000</v>
      </c>
      <c r="E276" s="7">
        <f>SUM(E90+E212+E259)</f>
        <v>17206300</v>
      </c>
    </row>
    <row r="277" spans="1:5" ht="15" customHeight="1">
      <c r="A277" s="92"/>
      <c r="B277" s="93"/>
      <c r="C277" s="25" t="s">
        <v>294</v>
      </c>
      <c r="D277" s="32">
        <f>SUM(D276-E276)</f>
        <v>2948700</v>
      </c>
      <c r="E277" s="7"/>
    </row>
    <row r="278" spans="1:5" ht="15" customHeight="1">
      <c r="D278" s="5"/>
      <c r="E278" s="5"/>
    </row>
    <row r="279" spans="1:5" ht="15" customHeight="1">
      <c r="A279" s="15"/>
      <c r="B279" s="2"/>
      <c r="C279" s="3"/>
      <c r="D279" s="5"/>
      <c r="E279" s="5"/>
    </row>
    <row r="280" spans="1:5" ht="15" customHeight="1">
      <c r="A280" s="15"/>
      <c r="B280" s="2"/>
      <c r="C280" s="6"/>
      <c r="D280" s="4"/>
      <c r="E280" s="5"/>
    </row>
    <row r="281" spans="1:5" ht="15" customHeight="1">
      <c r="A281" s="1"/>
      <c r="B281" s="2"/>
      <c r="C281" s="6"/>
      <c r="D281" s="4"/>
      <c r="E281" s="4"/>
    </row>
    <row r="282" spans="1:5" ht="15" customHeight="1">
      <c r="A282" s="1"/>
      <c r="C282" s="6"/>
      <c r="D282" s="4"/>
      <c r="E282" s="4"/>
    </row>
    <row r="283" spans="1:5" ht="15" customHeight="1">
      <c r="A283" s="1"/>
      <c r="C283" s="6"/>
      <c r="D283" s="4"/>
      <c r="E283" s="4"/>
    </row>
    <row r="284" spans="1:5" ht="15" customHeight="1">
      <c r="A284" s="1"/>
      <c r="C284" s="6"/>
      <c r="E284" s="4"/>
    </row>
    <row r="285" spans="1:5" ht="15" customHeight="1">
      <c r="A285" s="1"/>
      <c r="C285" s="6"/>
    </row>
    <row r="286" spans="1:5" ht="15" customHeight="1">
      <c r="A286" s="1"/>
      <c r="C286" s="6"/>
    </row>
    <row r="287" spans="1:5" ht="15" customHeight="1">
      <c r="A287" s="1"/>
      <c r="C287" s="6"/>
    </row>
    <row r="288" spans="1:5" ht="15" customHeight="1">
      <c r="C288" s="3"/>
    </row>
    <row r="289" spans="3:3" ht="15" customHeight="1">
      <c r="C289" s="3"/>
    </row>
    <row r="290" spans="3:3" ht="15" customHeight="1">
      <c r="C290" s="3"/>
    </row>
    <row r="291" spans="3:3" ht="15" customHeight="1">
      <c r="C291" s="3"/>
    </row>
  </sheetData>
  <mergeCells count="56">
    <mergeCell ref="A248:A258"/>
    <mergeCell ref="B248:B258"/>
    <mergeCell ref="A259:A274"/>
    <mergeCell ref="B259:B274"/>
    <mergeCell ref="A239:A247"/>
    <mergeCell ref="B239:B247"/>
    <mergeCell ref="A70:A77"/>
    <mergeCell ref="B70:B77"/>
    <mergeCell ref="A276:B277"/>
    <mergeCell ref="A205:A211"/>
    <mergeCell ref="B205:B211"/>
    <mergeCell ref="A228:A238"/>
    <mergeCell ref="B228:B238"/>
    <mergeCell ref="A78:A85"/>
    <mergeCell ref="B78:B85"/>
    <mergeCell ref="A90:A106"/>
    <mergeCell ref="B90:B106"/>
    <mergeCell ref="B86:B89"/>
    <mergeCell ref="A86:A89"/>
    <mergeCell ref="B107:B118"/>
    <mergeCell ref="A107:A118"/>
    <mergeCell ref="A174:A181"/>
    <mergeCell ref="A60:A69"/>
    <mergeCell ref="B60:B69"/>
    <mergeCell ref="A22:A34"/>
    <mergeCell ref="B22:B34"/>
    <mergeCell ref="A35:A47"/>
    <mergeCell ref="B35:B47"/>
    <mergeCell ref="B48:B59"/>
    <mergeCell ref="A48:A59"/>
    <mergeCell ref="A1:E6"/>
    <mergeCell ref="A7:E7"/>
    <mergeCell ref="A8:E8"/>
    <mergeCell ref="A10:A21"/>
    <mergeCell ref="B10:B21"/>
    <mergeCell ref="B174:B181"/>
    <mergeCell ref="A164:A173"/>
    <mergeCell ref="B164:B173"/>
    <mergeCell ref="A152:A163"/>
    <mergeCell ref="B152:B163"/>
    <mergeCell ref="A212:A227"/>
    <mergeCell ref="B212:B227"/>
    <mergeCell ref="A119:A129"/>
    <mergeCell ref="B119:B129"/>
    <mergeCell ref="A182:A186"/>
    <mergeCell ref="A187:A192"/>
    <mergeCell ref="B187:B192"/>
    <mergeCell ref="B182:B186"/>
    <mergeCell ref="A199:A204"/>
    <mergeCell ref="B199:B204"/>
    <mergeCell ref="A141:A151"/>
    <mergeCell ref="B141:B151"/>
    <mergeCell ref="A130:A140"/>
    <mergeCell ref="B130:B140"/>
    <mergeCell ref="A193:A198"/>
    <mergeCell ref="B193:B198"/>
  </mergeCells>
  <phoneticPr fontId="1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9237A-B536-4C6E-866B-CCA0E16B2DC6}">
  <dimension ref="A1:E236"/>
  <sheetViews>
    <sheetView topLeftCell="A124" zoomScale="113" zoomScaleNormal="81" workbookViewId="0">
      <selection activeCell="C131" sqref="C131"/>
    </sheetView>
  </sheetViews>
  <sheetFormatPr defaultColWidth="8.88671875" defaultRowHeight="15.6"/>
  <cols>
    <col min="1" max="1" width="7.6640625" style="34" customWidth="1"/>
    <col min="2" max="2" width="9" style="34" customWidth="1"/>
    <col min="3" max="3" width="58.77734375" style="34" customWidth="1"/>
    <col min="4" max="4" width="24.77734375" style="34" customWidth="1"/>
    <col min="5" max="5" width="24.6640625" style="34" customWidth="1"/>
    <col min="6" max="16384" width="8.88671875" style="34"/>
  </cols>
  <sheetData>
    <row r="1" spans="1:5">
      <c r="A1" s="109"/>
      <c r="B1" s="110"/>
      <c r="C1" s="110"/>
      <c r="D1" s="110"/>
      <c r="E1" s="110"/>
    </row>
    <row r="2" spans="1:5">
      <c r="A2" s="110"/>
      <c r="B2" s="110"/>
      <c r="C2" s="110"/>
      <c r="D2" s="110"/>
      <c r="E2" s="110"/>
    </row>
    <row r="3" spans="1:5">
      <c r="A3" s="110"/>
      <c r="B3" s="110"/>
      <c r="C3" s="110"/>
      <c r="D3" s="110"/>
      <c r="E3" s="110"/>
    </row>
    <row r="4" spans="1:5">
      <c r="A4" s="110"/>
      <c r="B4" s="110"/>
      <c r="C4" s="110"/>
      <c r="D4" s="110"/>
      <c r="E4" s="110"/>
    </row>
    <row r="5" spans="1:5">
      <c r="A5" s="110"/>
      <c r="B5" s="110"/>
      <c r="C5" s="110"/>
      <c r="D5" s="110"/>
      <c r="E5" s="110"/>
    </row>
    <row r="6" spans="1:5">
      <c r="A6" s="110"/>
      <c r="B6" s="110"/>
      <c r="C6" s="110"/>
      <c r="D6" s="110"/>
      <c r="E6" s="110"/>
    </row>
    <row r="7" spans="1:5">
      <c r="A7" s="111" t="s">
        <v>0</v>
      </c>
      <c r="B7" s="110"/>
      <c r="C7" s="110"/>
      <c r="D7" s="110"/>
      <c r="E7" s="110"/>
    </row>
    <row r="8" spans="1:5">
      <c r="A8" s="112" t="s">
        <v>337</v>
      </c>
      <c r="B8" s="110"/>
      <c r="C8" s="113"/>
      <c r="D8" s="113"/>
      <c r="E8" s="110"/>
    </row>
    <row r="9" spans="1:5">
      <c r="A9" s="36" t="s">
        <v>1</v>
      </c>
      <c r="B9" s="37" t="s">
        <v>2</v>
      </c>
      <c r="C9" s="38" t="s">
        <v>3</v>
      </c>
      <c r="D9" s="39" t="s">
        <v>4</v>
      </c>
      <c r="E9" s="40" t="s">
        <v>5</v>
      </c>
    </row>
    <row r="10" spans="1:5">
      <c r="A10" s="104">
        <v>1</v>
      </c>
      <c r="B10" s="107">
        <v>45962</v>
      </c>
      <c r="C10" s="41" t="s">
        <v>8</v>
      </c>
      <c r="D10" s="33">
        <v>2362000</v>
      </c>
      <c r="E10" s="40"/>
    </row>
    <row r="11" spans="1:5">
      <c r="A11" s="104"/>
      <c r="B11" s="107"/>
      <c r="C11" s="42" t="s">
        <v>346</v>
      </c>
      <c r="D11" s="43"/>
      <c r="E11" s="44"/>
    </row>
    <row r="12" spans="1:5">
      <c r="A12" s="104"/>
      <c r="B12" s="107"/>
      <c r="C12" s="42" t="s">
        <v>347</v>
      </c>
      <c r="D12" s="43"/>
      <c r="E12" s="44"/>
    </row>
    <row r="13" spans="1:5">
      <c r="A13" s="104"/>
      <c r="B13" s="107"/>
      <c r="C13" s="42" t="s">
        <v>348</v>
      </c>
      <c r="D13" s="43"/>
      <c r="E13" s="44"/>
    </row>
    <row r="14" spans="1:5">
      <c r="A14" s="104"/>
      <c r="B14" s="107"/>
      <c r="C14" s="42" t="s">
        <v>349</v>
      </c>
      <c r="D14" s="43"/>
      <c r="E14" s="44"/>
    </row>
    <row r="15" spans="1:5">
      <c r="A15" s="104"/>
      <c r="B15" s="107"/>
      <c r="C15" s="42" t="s">
        <v>350</v>
      </c>
      <c r="D15" s="43"/>
      <c r="E15" s="44"/>
    </row>
    <row r="16" spans="1:5">
      <c r="A16" s="104"/>
      <c r="B16" s="107"/>
      <c r="C16" s="42" t="s">
        <v>351</v>
      </c>
      <c r="E16" s="44"/>
    </row>
    <row r="17" spans="1:5">
      <c r="A17" s="104"/>
      <c r="B17" s="107"/>
      <c r="C17" s="42" t="s">
        <v>352</v>
      </c>
      <c r="D17" s="45"/>
      <c r="E17" s="44"/>
    </row>
    <row r="18" spans="1:5">
      <c r="A18" s="104"/>
      <c r="B18" s="107"/>
      <c r="C18" s="34" t="s">
        <v>353</v>
      </c>
      <c r="D18" s="45"/>
      <c r="E18" s="44"/>
    </row>
    <row r="19" spans="1:5">
      <c r="A19" s="104"/>
      <c r="B19" s="107"/>
      <c r="C19" s="42" t="s">
        <v>354</v>
      </c>
      <c r="D19" s="45"/>
      <c r="E19" s="44"/>
    </row>
    <row r="20" spans="1:5">
      <c r="A20" s="104"/>
      <c r="B20" s="107"/>
      <c r="C20" s="47" t="s">
        <v>355</v>
      </c>
      <c r="D20" s="47"/>
      <c r="E20" s="46"/>
    </row>
    <row r="21" spans="1:5">
      <c r="A21" s="105"/>
      <c r="B21" s="108"/>
      <c r="C21" s="47" t="s">
        <v>356</v>
      </c>
      <c r="D21" s="44"/>
      <c r="E21" s="46"/>
    </row>
    <row r="22" spans="1:5">
      <c r="A22" s="104">
        <v>2</v>
      </c>
      <c r="B22" s="107">
        <v>45963</v>
      </c>
      <c r="C22" s="41" t="s">
        <v>8</v>
      </c>
      <c r="D22" s="33">
        <v>828000</v>
      </c>
      <c r="E22" s="40"/>
    </row>
    <row r="23" spans="1:5">
      <c r="A23" s="104"/>
      <c r="B23" s="107"/>
      <c r="C23" s="42" t="s">
        <v>357</v>
      </c>
      <c r="D23" s="43"/>
      <c r="E23" s="44"/>
    </row>
    <row r="24" spans="1:5">
      <c r="A24" s="104"/>
      <c r="B24" s="107"/>
      <c r="C24" s="42" t="s">
        <v>358</v>
      </c>
      <c r="D24" s="43"/>
      <c r="E24" s="44"/>
    </row>
    <row r="25" spans="1:5">
      <c r="A25" s="104"/>
      <c r="B25" s="107"/>
      <c r="C25" s="42" t="s">
        <v>359</v>
      </c>
      <c r="D25" s="43"/>
      <c r="E25" s="44"/>
    </row>
    <row r="26" spans="1:5">
      <c r="A26" s="104"/>
      <c r="B26" s="107"/>
      <c r="C26" s="42" t="s">
        <v>360</v>
      </c>
      <c r="D26" s="43"/>
      <c r="E26" s="44"/>
    </row>
    <row r="27" spans="1:5">
      <c r="A27" s="104"/>
      <c r="B27" s="107"/>
      <c r="C27" s="42" t="s">
        <v>361</v>
      </c>
      <c r="D27" s="43"/>
      <c r="E27" s="44"/>
    </row>
    <row r="28" spans="1:5">
      <c r="A28" s="104"/>
      <c r="B28" s="107"/>
      <c r="C28" s="42" t="s">
        <v>362</v>
      </c>
      <c r="E28" s="44"/>
    </row>
    <row r="29" spans="1:5">
      <c r="A29" s="104"/>
      <c r="B29" s="107"/>
      <c r="C29" s="42" t="s">
        <v>364</v>
      </c>
      <c r="D29" s="45"/>
      <c r="E29" s="44"/>
    </row>
    <row r="30" spans="1:5">
      <c r="A30" s="104"/>
      <c r="B30" s="107"/>
      <c r="C30" s="34" t="s">
        <v>363</v>
      </c>
      <c r="D30" s="45"/>
      <c r="E30" s="44"/>
    </row>
    <row r="31" spans="1:5">
      <c r="A31" s="104"/>
      <c r="B31" s="107"/>
      <c r="C31" s="42" t="s">
        <v>366</v>
      </c>
      <c r="D31" s="45"/>
      <c r="E31" s="44"/>
    </row>
    <row r="32" spans="1:5">
      <c r="A32" s="104"/>
      <c r="B32" s="107"/>
      <c r="C32" s="47" t="s">
        <v>365</v>
      </c>
      <c r="D32" s="47"/>
      <c r="E32" s="46"/>
    </row>
    <row r="33" spans="1:5">
      <c r="A33" s="105"/>
      <c r="B33" s="108"/>
      <c r="C33" s="47" t="s">
        <v>244</v>
      </c>
      <c r="D33" s="44"/>
      <c r="E33" s="46"/>
    </row>
    <row r="34" spans="1:5">
      <c r="A34" s="104">
        <v>3</v>
      </c>
      <c r="B34" s="107">
        <v>45964</v>
      </c>
      <c r="C34" s="41" t="s">
        <v>8</v>
      </c>
      <c r="D34" s="33">
        <v>711000</v>
      </c>
      <c r="E34" s="40"/>
    </row>
    <row r="35" spans="1:5">
      <c r="A35" s="104"/>
      <c r="B35" s="107"/>
      <c r="C35" s="42" t="s">
        <v>75</v>
      </c>
      <c r="D35" s="43"/>
      <c r="E35" s="44"/>
    </row>
    <row r="36" spans="1:5">
      <c r="A36" s="104"/>
      <c r="B36" s="107"/>
      <c r="C36" s="42" t="s">
        <v>342</v>
      </c>
      <c r="D36" s="43"/>
      <c r="E36" s="44"/>
    </row>
    <row r="37" spans="1:5">
      <c r="A37" s="104"/>
      <c r="B37" s="107"/>
      <c r="C37" s="42" t="s">
        <v>73</v>
      </c>
      <c r="D37" s="43"/>
      <c r="E37" s="44"/>
    </row>
    <row r="38" spans="1:5">
      <c r="A38" s="104"/>
      <c r="B38" s="107"/>
      <c r="C38" s="42" t="s">
        <v>338</v>
      </c>
      <c r="D38" s="43"/>
      <c r="E38" s="44"/>
    </row>
    <row r="39" spans="1:5">
      <c r="A39" s="104"/>
      <c r="B39" s="107"/>
      <c r="C39" s="42" t="s">
        <v>339</v>
      </c>
      <c r="D39" s="43"/>
      <c r="E39" s="44"/>
    </row>
    <row r="40" spans="1:5">
      <c r="A40" s="104"/>
      <c r="B40" s="107"/>
      <c r="C40" s="42" t="s">
        <v>30</v>
      </c>
      <c r="E40" s="44"/>
    </row>
    <row r="41" spans="1:5">
      <c r="A41" s="104"/>
      <c r="B41" s="107"/>
      <c r="C41" s="42" t="s">
        <v>340</v>
      </c>
      <c r="D41" s="45"/>
      <c r="E41" s="44"/>
    </row>
    <row r="42" spans="1:5">
      <c r="A42" s="104"/>
      <c r="B42" s="107"/>
      <c r="C42" s="34" t="s">
        <v>223</v>
      </c>
      <c r="D42" s="45"/>
      <c r="E42" s="44"/>
    </row>
    <row r="43" spans="1:5">
      <c r="A43" s="104"/>
      <c r="B43" s="107"/>
      <c r="C43" s="42" t="s">
        <v>341</v>
      </c>
      <c r="D43" s="45"/>
      <c r="E43" s="44"/>
    </row>
    <row r="44" spans="1:5">
      <c r="A44" s="104"/>
      <c r="B44" s="107"/>
      <c r="C44" s="47" t="s">
        <v>67</v>
      </c>
      <c r="D44" s="47"/>
      <c r="E44" s="46"/>
    </row>
    <row r="45" spans="1:5">
      <c r="A45" s="104">
        <v>4</v>
      </c>
      <c r="B45" s="107">
        <v>45965</v>
      </c>
      <c r="C45" s="41" t="s">
        <v>8</v>
      </c>
      <c r="D45" s="33">
        <v>287000</v>
      </c>
      <c r="E45" s="40"/>
    </row>
    <row r="46" spans="1:5">
      <c r="A46" s="104"/>
      <c r="B46" s="107"/>
      <c r="C46" s="42" t="s">
        <v>53</v>
      </c>
      <c r="D46" s="43"/>
      <c r="E46" s="44"/>
    </row>
    <row r="47" spans="1:5">
      <c r="A47" s="104"/>
      <c r="B47" s="107"/>
      <c r="C47" s="42" t="s">
        <v>203</v>
      </c>
      <c r="D47" s="43"/>
      <c r="E47" s="44"/>
    </row>
    <row r="48" spans="1:5">
      <c r="A48" s="104"/>
      <c r="B48" s="107"/>
      <c r="C48" s="42" t="s">
        <v>73</v>
      </c>
      <c r="D48" s="43"/>
      <c r="E48" s="44"/>
    </row>
    <row r="49" spans="1:5">
      <c r="A49" s="104"/>
      <c r="B49" s="107"/>
      <c r="C49" s="42" t="s">
        <v>345</v>
      </c>
      <c r="D49" s="43"/>
      <c r="E49" s="44"/>
    </row>
    <row r="50" spans="1:5">
      <c r="A50" s="104"/>
      <c r="B50" s="107"/>
      <c r="C50" s="42" t="s">
        <v>30</v>
      </c>
      <c r="E50" s="44"/>
    </row>
    <row r="51" spans="1:5">
      <c r="A51" s="104"/>
      <c r="B51" s="107"/>
      <c r="C51" s="42" t="s">
        <v>205</v>
      </c>
      <c r="D51" s="45"/>
      <c r="E51" s="44"/>
    </row>
    <row r="52" spans="1:5">
      <c r="A52" s="104"/>
      <c r="B52" s="107"/>
      <c r="C52" s="34" t="s">
        <v>204</v>
      </c>
      <c r="D52" s="45"/>
      <c r="E52" s="44"/>
    </row>
    <row r="53" spans="1:5">
      <c r="A53" s="104"/>
      <c r="B53" s="107"/>
      <c r="C53" s="42" t="s">
        <v>344</v>
      </c>
      <c r="D53" s="45"/>
      <c r="E53" s="44"/>
    </row>
    <row r="54" spans="1:5">
      <c r="A54" s="104"/>
      <c r="B54" s="107"/>
      <c r="C54" s="47" t="s">
        <v>253</v>
      </c>
      <c r="D54" s="47"/>
      <c r="E54" s="46"/>
    </row>
    <row r="55" spans="1:5">
      <c r="A55" s="104">
        <v>5</v>
      </c>
      <c r="B55" s="107">
        <v>45966</v>
      </c>
      <c r="C55" s="41" t="s">
        <v>8</v>
      </c>
      <c r="D55" s="33">
        <v>1045000</v>
      </c>
      <c r="E55" s="40"/>
    </row>
    <row r="56" spans="1:5">
      <c r="A56" s="104"/>
      <c r="B56" s="107"/>
      <c r="C56" s="42" t="s">
        <v>346</v>
      </c>
      <c r="D56" s="43"/>
      <c r="E56" s="44"/>
    </row>
    <row r="57" spans="1:5">
      <c r="A57" s="104"/>
      <c r="B57" s="107"/>
      <c r="C57" s="42" t="s">
        <v>367</v>
      </c>
      <c r="D57" s="43"/>
      <c r="E57" s="44"/>
    </row>
    <row r="58" spans="1:5">
      <c r="A58" s="104"/>
      <c r="B58" s="107"/>
      <c r="C58" s="42" t="s">
        <v>368</v>
      </c>
      <c r="D58" s="43"/>
      <c r="E58" s="44"/>
    </row>
    <row r="59" spans="1:5">
      <c r="A59" s="104"/>
      <c r="B59" s="107"/>
      <c r="C59" s="42" t="s">
        <v>369</v>
      </c>
      <c r="D59" s="43"/>
      <c r="E59" s="44"/>
    </row>
    <row r="60" spans="1:5">
      <c r="A60" s="104"/>
      <c r="B60" s="107"/>
      <c r="C60" s="42" t="s">
        <v>370</v>
      </c>
      <c r="E60" s="44"/>
    </row>
    <row r="61" spans="1:5">
      <c r="A61" s="104"/>
      <c r="B61" s="107"/>
      <c r="C61" s="42" t="s">
        <v>221</v>
      </c>
      <c r="D61" s="45"/>
      <c r="E61" s="44"/>
    </row>
    <row r="62" spans="1:5">
      <c r="A62" s="104"/>
      <c r="B62" s="107"/>
      <c r="C62" s="34" t="s">
        <v>363</v>
      </c>
      <c r="D62" s="45"/>
      <c r="E62" s="44"/>
    </row>
    <row r="63" spans="1:5">
      <c r="A63" s="104"/>
      <c r="B63" s="107"/>
      <c r="C63" s="34" t="s">
        <v>278</v>
      </c>
      <c r="D63" s="45"/>
      <c r="E63" s="44"/>
    </row>
    <row r="64" spans="1:5">
      <c r="A64" s="104"/>
      <c r="B64" s="107"/>
      <c r="C64" s="42" t="s">
        <v>366</v>
      </c>
      <c r="D64" s="45"/>
      <c r="E64" s="44"/>
    </row>
    <row r="65" spans="1:5">
      <c r="A65" s="104"/>
      <c r="B65" s="107"/>
      <c r="C65" s="42" t="s">
        <v>244</v>
      </c>
      <c r="D65" s="45"/>
      <c r="E65" s="44"/>
    </row>
    <row r="66" spans="1:5">
      <c r="A66" s="104"/>
      <c r="B66" s="107"/>
      <c r="C66" s="42" t="s">
        <v>356</v>
      </c>
      <c r="D66" s="45"/>
      <c r="E66" s="44"/>
    </row>
    <row r="67" spans="1:5">
      <c r="A67" s="104"/>
      <c r="B67" s="107"/>
      <c r="C67" s="47" t="s">
        <v>371</v>
      </c>
      <c r="D67" s="47"/>
      <c r="E67" s="46"/>
    </row>
    <row r="68" spans="1:5">
      <c r="A68" s="104">
        <v>6</v>
      </c>
      <c r="B68" s="107">
        <v>45968</v>
      </c>
      <c r="C68" s="41" t="s">
        <v>8</v>
      </c>
      <c r="D68" s="33">
        <v>1683000</v>
      </c>
      <c r="E68" s="40"/>
    </row>
    <row r="69" spans="1:5">
      <c r="A69" s="104"/>
      <c r="B69" s="107"/>
      <c r="C69" s="42" t="s">
        <v>372</v>
      </c>
      <c r="D69" s="43"/>
      <c r="E69" s="44"/>
    </row>
    <row r="70" spans="1:5">
      <c r="A70" s="104"/>
      <c r="B70" s="107"/>
      <c r="C70" s="42" t="s">
        <v>375</v>
      </c>
      <c r="D70" s="43"/>
      <c r="E70" s="44"/>
    </row>
    <row r="71" spans="1:5">
      <c r="A71" s="104"/>
      <c r="B71" s="107"/>
      <c r="C71" s="42" t="s">
        <v>373</v>
      </c>
      <c r="D71" s="43"/>
      <c r="E71" s="44"/>
    </row>
    <row r="72" spans="1:5">
      <c r="A72" s="104"/>
      <c r="B72" s="107"/>
      <c r="C72" s="42" t="s">
        <v>374</v>
      </c>
      <c r="E72" s="44"/>
    </row>
    <row r="73" spans="1:5">
      <c r="A73" s="104"/>
      <c r="B73" s="107"/>
      <c r="C73" s="42" t="s">
        <v>378</v>
      </c>
      <c r="D73" s="45"/>
      <c r="E73" s="44"/>
    </row>
    <row r="74" spans="1:5">
      <c r="A74" s="104"/>
      <c r="B74" s="107"/>
      <c r="C74" s="34" t="s">
        <v>15</v>
      </c>
      <c r="D74" s="45"/>
      <c r="E74" s="44"/>
    </row>
    <row r="75" spans="1:5">
      <c r="A75" s="104"/>
      <c r="B75" s="107"/>
      <c r="C75" s="42" t="s">
        <v>376</v>
      </c>
      <c r="D75" s="45"/>
      <c r="E75" s="44"/>
    </row>
    <row r="76" spans="1:5">
      <c r="A76" s="104"/>
      <c r="B76" s="107"/>
      <c r="C76" s="42" t="s">
        <v>244</v>
      </c>
      <c r="D76" s="45"/>
      <c r="E76" s="44"/>
    </row>
    <row r="77" spans="1:5">
      <c r="A77" s="105"/>
      <c r="B77" s="108"/>
      <c r="C77" s="47" t="s">
        <v>377</v>
      </c>
      <c r="D77" s="47"/>
      <c r="E77" s="46"/>
    </row>
    <row r="78" spans="1:5">
      <c r="A78" s="103">
        <v>7</v>
      </c>
      <c r="B78" s="106">
        <v>45972</v>
      </c>
      <c r="C78" s="41" t="s">
        <v>8</v>
      </c>
      <c r="D78" s="33">
        <v>227000</v>
      </c>
      <c r="E78" s="40"/>
    </row>
    <row r="79" spans="1:5">
      <c r="A79" s="104"/>
      <c r="B79" s="107"/>
      <c r="C79" s="42" t="s">
        <v>79</v>
      </c>
      <c r="D79" s="43"/>
      <c r="E79" s="44"/>
    </row>
    <row r="80" spans="1:5">
      <c r="A80" s="104"/>
      <c r="B80" s="107"/>
      <c r="C80" s="42" t="s">
        <v>324</v>
      </c>
      <c r="D80" s="45"/>
      <c r="E80" s="44"/>
    </row>
    <row r="81" spans="1:5">
      <c r="A81" s="104"/>
      <c r="B81" s="107"/>
      <c r="C81" s="42" t="s">
        <v>333</v>
      </c>
      <c r="D81" s="45"/>
      <c r="E81" s="44"/>
    </row>
    <row r="82" spans="1:5">
      <c r="A82" s="105"/>
      <c r="B82" s="108"/>
      <c r="C82" s="47" t="s">
        <v>213</v>
      </c>
      <c r="D82" s="47"/>
      <c r="E82" s="46"/>
    </row>
    <row r="83" spans="1:5">
      <c r="A83" s="103">
        <v>8</v>
      </c>
      <c r="B83" s="106">
        <v>45973</v>
      </c>
      <c r="C83" s="41" t="s">
        <v>8</v>
      </c>
      <c r="D83" s="33">
        <v>478000</v>
      </c>
      <c r="E83" s="40"/>
    </row>
    <row r="84" spans="1:5">
      <c r="A84" s="104"/>
      <c r="B84" s="107"/>
      <c r="C84" s="42" t="s">
        <v>379</v>
      </c>
      <c r="D84" s="43"/>
      <c r="E84" s="44"/>
    </row>
    <row r="85" spans="1:5">
      <c r="A85" s="104"/>
      <c r="B85" s="107"/>
      <c r="C85" s="42" t="s">
        <v>244</v>
      </c>
      <c r="D85" s="45"/>
      <c r="E85" s="44"/>
    </row>
    <row r="86" spans="1:5">
      <c r="A86" s="104"/>
      <c r="B86" s="107"/>
      <c r="C86" s="42" t="s">
        <v>380</v>
      </c>
      <c r="D86" s="45"/>
      <c r="E86" s="44"/>
    </row>
    <row r="87" spans="1:5">
      <c r="A87" s="105"/>
      <c r="B87" s="108"/>
      <c r="C87" s="47" t="s">
        <v>381</v>
      </c>
      <c r="D87" s="47"/>
      <c r="E87" s="46"/>
    </row>
    <row r="88" spans="1:5">
      <c r="A88" s="103">
        <v>9</v>
      </c>
      <c r="B88" s="106">
        <v>45974</v>
      </c>
      <c r="C88" s="41" t="s">
        <v>8</v>
      </c>
      <c r="D88" s="33">
        <v>291000</v>
      </c>
      <c r="E88" s="40"/>
    </row>
    <row r="89" spans="1:5">
      <c r="A89" s="104"/>
      <c r="B89" s="107"/>
      <c r="C89" s="42" t="s">
        <v>382</v>
      </c>
      <c r="D89" s="45"/>
      <c r="E89" s="44"/>
    </row>
    <row r="90" spans="1:5">
      <c r="A90" s="105"/>
      <c r="B90" s="108"/>
      <c r="C90" s="47" t="s">
        <v>280</v>
      </c>
      <c r="D90" s="47"/>
      <c r="E90" s="46"/>
    </row>
    <row r="91" spans="1:5">
      <c r="A91" s="103">
        <v>10</v>
      </c>
      <c r="B91" s="106">
        <v>45975</v>
      </c>
      <c r="C91" s="41" t="s">
        <v>8</v>
      </c>
      <c r="D91" s="33">
        <v>1264000</v>
      </c>
      <c r="E91" s="46"/>
    </row>
    <row r="92" spans="1:5">
      <c r="A92" s="104"/>
      <c r="B92" s="107"/>
      <c r="C92" s="47" t="s">
        <v>400</v>
      </c>
      <c r="D92" s="45"/>
      <c r="E92" s="46"/>
    </row>
    <row r="93" spans="1:5">
      <c r="A93" s="104"/>
      <c r="B93" s="107"/>
      <c r="C93" s="47" t="s">
        <v>85</v>
      </c>
      <c r="D93" s="45"/>
      <c r="E93" s="46"/>
    </row>
    <row r="94" spans="1:5">
      <c r="A94" s="104"/>
      <c r="B94" s="107"/>
      <c r="C94" s="47" t="s">
        <v>401</v>
      </c>
      <c r="D94" s="45"/>
      <c r="E94" s="46"/>
    </row>
    <row r="95" spans="1:5">
      <c r="A95" s="104"/>
      <c r="B95" s="107"/>
      <c r="C95" s="47" t="s">
        <v>372</v>
      </c>
      <c r="D95" s="45"/>
      <c r="E95" s="46"/>
    </row>
    <row r="96" spans="1:5">
      <c r="A96" s="104"/>
      <c r="B96" s="107"/>
      <c r="C96" s="47" t="s">
        <v>370</v>
      </c>
      <c r="D96" s="45"/>
      <c r="E96" s="46"/>
    </row>
    <row r="97" spans="1:5">
      <c r="A97" s="104"/>
      <c r="B97" s="107"/>
      <c r="C97" s="47" t="s">
        <v>402</v>
      </c>
      <c r="D97" s="45"/>
      <c r="E97" s="46"/>
    </row>
    <row r="98" spans="1:5">
      <c r="A98" s="104"/>
      <c r="B98" s="107"/>
      <c r="C98" s="47" t="s">
        <v>258</v>
      </c>
      <c r="D98" s="45"/>
      <c r="E98" s="46"/>
    </row>
    <row r="99" spans="1:5">
      <c r="A99" s="104"/>
      <c r="B99" s="107"/>
      <c r="C99" s="47" t="s">
        <v>369</v>
      </c>
      <c r="D99" s="45"/>
      <c r="E99" s="46"/>
    </row>
    <row r="100" spans="1:5">
      <c r="A100" s="104"/>
      <c r="B100" s="107"/>
      <c r="C100" s="47" t="s">
        <v>403</v>
      </c>
      <c r="D100" s="45"/>
      <c r="E100" s="46"/>
    </row>
    <row r="101" spans="1:5">
      <c r="A101" s="104"/>
      <c r="B101" s="107"/>
      <c r="C101" s="56" t="s">
        <v>106</v>
      </c>
      <c r="D101" s="45"/>
      <c r="E101" s="46">
        <v>4465000</v>
      </c>
    </row>
    <row r="102" spans="1:5">
      <c r="A102" s="104"/>
      <c r="B102" s="107"/>
      <c r="C102" s="47" t="s">
        <v>383</v>
      </c>
      <c r="D102" s="45"/>
      <c r="E102" s="46"/>
    </row>
    <row r="103" spans="1:5">
      <c r="A103" s="104"/>
      <c r="B103" s="107"/>
      <c r="C103" s="47" t="s">
        <v>384</v>
      </c>
      <c r="D103" s="45"/>
      <c r="E103" s="46"/>
    </row>
    <row r="104" spans="1:5">
      <c r="A104" s="105"/>
      <c r="B104" s="108"/>
      <c r="C104" s="47" t="s">
        <v>184</v>
      </c>
      <c r="D104" s="45"/>
      <c r="E104" s="46"/>
    </row>
    <row r="105" spans="1:5">
      <c r="A105" s="103">
        <v>11</v>
      </c>
      <c r="B105" s="106">
        <v>45976</v>
      </c>
      <c r="C105" s="54" t="s">
        <v>8</v>
      </c>
      <c r="D105" s="33">
        <v>1247000</v>
      </c>
      <c r="E105" s="40"/>
    </row>
    <row r="106" spans="1:5">
      <c r="A106" s="104"/>
      <c r="B106" s="107"/>
      <c r="C106" s="42" t="s">
        <v>366</v>
      </c>
      <c r="D106" s="45"/>
      <c r="E106" s="44"/>
    </row>
    <row r="107" spans="1:5">
      <c r="A107" s="104"/>
      <c r="B107" s="107"/>
      <c r="C107" s="55" t="s">
        <v>385</v>
      </c>
      <c r="D107" s="47"/>
      <c r="E107" s="46"/>
    </row>
    <row r="108" spans="1:5">
      <c r="A108" s="104"/>
      <c r="B108" s="107"/>
      <c r="C108" s="55" t="s">
        <v>386</v>
      </c>
      <c r="D108" s="47"/>
      <c r="E108" s="46"/>
    </row>
    <row r="109" spans="1:5">
      <c r="A109" s="104"/>
      <c r="B109" s="107"/>
      <c r="C109" s="55" t="s">
        <v>387</v>
      </c>
      <c r="D109" s="47"/>
      <c r="E109" s="46"/>
    </row>
    <row r="110" spans="1:5">
      <c r="A110" s="104"/>
      <c r="B110" s="107"/>
      <c r="C110" s="55" t="s">
        <v>372</v>
      </c>
      <c r="D110" s="47"/>
      <c r="E110" s="46"/>
    </row>
    <row r="111" spans="1:5">
      <c r="A111" s="104"/>
      <c r="B111" s="107"/>
      <c r="C111" s="55" t="s">
        <v>388</v>
      </c>
      <c r="D111" s="47"/>
      <c r="E111" s="46"/>
    </row>
    <row r="112" spans="1:5">
      <c r="A112" s="104"/>
      <c r="B112" s="107"/>
      <c r="C112" s="55" t="s">
        <v>390</v>
      </c>
      <c r="D112" s="47"/>
      <c r="E112" s="46"/>
    </row>
    <row r="113" spans="1:5">
      <c r="A113" s="104"/>
      <c r="B113" s="107"/>
      <c r="C113" s="55" t="s">
        <v>369</v>
      </c>
      <c r="D113" s="47"/>
      <c r="E113" s="46"/>
    </row>
    <row r="114" spans="1:5">
      <c r="A114" s="104"/>
      <c r="B114" s="107"/>
      <c r="C114" s="55" t="s">
        <v>282</v>
      </c>
      <c r="D114" s="47"/>
      <c r="E114" s="46"/>
    </row>
    <row r="115" spans="1:5">
      <c r="A115" s="104"/>
      <c r="B115" s="107"/>
      <c r="C115" s="55" t="s">
        <v>244</v>
      </c>
      <c r="D115" s="47"/>
      <c r="E115" s="46"/>
    </row>
    <row r="116" spans="1:5">
      <c r="A116" s="105"/>
      <c r="B116" s="108"/>
      <c r="C116" s="55" t="s">
        <v>389</v>
      </c>
      <c r="D116" s="47"/>
      <c r="E116" s="46"/>
    </row>
    <row r="117" spans="1:5">
      <c r="A117" s="103">
        <v>12</v>
      </c>
      <c r="B117" s="106">
        <v>45979</v>
      </c>
      <c r="C117" s="54" t="s">
        <v>8</v>
      </c>
      <c r="D117" s="33">
        <v>778000</v>
      </c>
      <c r="E117" s="40"/>
    </row>
    <row r="118" spans="1:5">
      <c r="A118" s="104"/>
      <c r="B118" s="107"/>
      <c r="C118" s="42" t="s">
        <v>366</v>
      </c>
      <c r="D118" s="45"/>
      <c r="E118" s="44"/>
    </row>
    <row r="119" spans="1:5">
      <c r="A119" s="104"/>
      <c r="B119" s="107"/>
      <c r="C119" s="55" t="s">
        <v>391</v>
      </c>
      <c r="D119" s="47"/>
      <c r="E119" s="46"/>
    </row>
    <row r="120" spans="1:5">
      <c r="A120" s="104"/>
      <c r="B120" s="107"/>
      <c r="C120" s="55" t="s">
        <v>62</v>
      </c>
      <c r="D120" s="47"/>
      <c r="E120" s="46"/>
    </row>
    <row r="121" spans="1:5">
      <c r="A121" s="104"/>
      <c r="B121" s="107"/>
      <c r="C121" s="55" t="s">
        <v>392</v>
      </c>
      <c r="D121" s="47"/>
      <c r="E121" s="46"/>
    </row>
    <row r="122" spans="1:5">
      <c r="A122" s="104"/>
      <c r="B122" s="107"/>
      <c r="C122" s="55" t="s">
        <v>221</v>
      </c>
      <c r="D122" s="47"/>
      <c r="E122" s="46"/>
    </row>
    <row r="123" spans="1:5">
      <c r="A123" s="104"/>
      <c r="B123" s="107"/>
      <c r="C123" s="55" t="s">
        <v>369</v>
      </c>
      <c r="D123" s="47"/>
      <c r="E123" s="46"/>
    </row>
    <row r="124" spans="1:5">
      <c r="A124" s="104"/>
      <c r="B124" s="107"/>
      <c r="C124" s="55" t="s">
        <v>215</v>
      </c>
      <c r="D124" s="47"/>
      <c r="E124" s="46"/>
    </row>
    <row r="125" spans="1:5">
      <c r="A125" s="105"/>
      <c r="B125" s="108"/>
      <c r="C125" s="55" t="s">
        <v>283</v>
      </c>
      <c r="D125" s="47"/>
      <c r="E125" s="46"/>
    </row>
    <row r="126" spans="1:5">
      <c r="A126" s="103">
        <v>13</v>
      </c>
      <c r="B126" s="106">
        <v>45980</v>
      </c>
      <c r="C126" s="54" t="s">
        <v>8</v>
      </c>
      <c r="D126" s="33">
        <v>1126000</v>
      </c>
      <c r="E126" s="40"/>
    </row>
    <row r="127" spans="1:5">
      <c r="A127" s="104"/>
      <c r="B127" s="107"/>
      <c r="C127" s="42" t="s">
        <v>366</v>
      </c>
      <c r="D127" s="45"/>
      <c r="E127" s="44"/>
    </row>
    <row r="128" spans="1:5">
      <c r="A128" s="104"/>
      <c r="B128" s="107"/>
      <c r="C128" s="55" t="s">
        <v>393</v>
      </c>
      <c r="D128" s="47"/>
      <c r="E128" s="46"/>
    </row>
    <row r="129" spans="1:5">
      <c r="A129" s="104"/>
      <c r="B129" s="107"/>
      <c r="C129" s="55" t="s">
        <v>12</v>
      </c>
      <c r="D129" s="47"/>
      <c r="E129" s="46"/>
    </row>
    <row r="130" spans="1:5">
      <c r="A130" s="104"/>
      <c r="B130" s="107"/>
      <c r="C130" s="55" t="s">
        <v>394</v>
      </c>
      <c r="D130" s="47"/>
      <c r="E130" s="46"/>
    </row>
    <row r="131" spans="1:5">
      <c r="A131" s="104"/>
      <c r="B131" s="107"/>
      <c r="C131" s="55" t="s">
        <v>221</v>
      </c>
      <c r="D131" s="47"/>
      <c r="E131" s="46"/>
    </row>
    <row r="132" spans="1:5">
      <c r="A132" s="104"/>
      <c r="B132" s="107"/>
      <c r="C132" s="55" t="s">
        <v>369</v>
      </c>
      <c r="D132" s="47"/>
      <c r="E132" s="46"/>
    </row>
    <row r="133" spans="1:5">
      <c r="A133" s="104"/>
      <c r="B133" s="107"/>
      <c r="C133" s="55" t="s">
        <v>215</v>
      </c>
      <c r="D133" s="47"/>
      <c r="E133" s="46"/>
    </row>
    <row r="134" spans="1:5">
      <c r="A134" s="104"/>
      <c r="B134" s="107"/>
      <c r="C134" s="55" t="s">
        <v>372</v>
      </c>
      <c r="D134" s="47"/>
      <c r="E134" s="46"/>
    </row>
    <row r="135" spans="1:5">
      <c r="A135" s="104"/>
      <c r="B135" s="107"/>
      <c r="C135" s="55" t="s">
        <v>244</v>
      </c>
      <c r="D135" s="47"/>
      <c r="E135" s="46"/>
    </row>
    <row r="136" spans="1:5">
      <c r="A136" s="104"/>
      <c r="B136" s="107"/>
      <c r="C136" s="55" t="s">
        <v>118</v>
      </c>
      <c r="D136" s="47"/>
      <c r="E136" s="46"/>
    </row>
    <row r="137" spans="1:5">
      <c r="A137" s="105"/>
      <c r="B137" s="108"/>
      <c r="C137" s="55" t="s">
        <v>395</v>
      </c>
      <c r="D137" s="47"/>
      <c r="E137" s="46"/>
    </row>
    <row r="138" spans="1:5">
      <c r="A138" s="103">
        <v>14</v>
      </c>
      <c r="B138" s="106">
        <v>45982</v>
      </c>
      <c r="C138" s="54" t="s">
        <v>8</v>
      </c>
      <c r="D138" s="33">
        <v>1052000</v>
      </c>
      <c r="E138" s="40"/>
    </row>
    <row r="139" spans="1:5">
      <c r="A139" s="104"/>
      <c r="B139" s="107"/>
      <c r="C139" s="42" t="s">
        <v>397</v>
      </c>
      <c r="D139" s="45"/>
      <c r="E139" s="44"/>
    </row>
    <row r="140" spans="1:5">
      <c r="A140" s="104"/>
      <c r="B140" s="107"/>
      <c r="C140" s="55" t="s">
        <v>396</v>
      </c>
      <c r="D140" s="47"/>
      <c r="E140" s="46"/>
    </row>
    <row r="141" spans="1:5">
      <c r="A141" s="104"/>
      <c r="B141" s="107"/>
      <c r="C141" s="55" t="s">
        <v>49</v>
      </c>
      <c r="D141" s="47"/>
      <c r="E141" s="46"/>
    </row>
    <row r="142" spans="1:5">
      <c r="A142" s="104"/>
      <c r="B142" s="107"/>
      <c r="C142" s="55" t="s">
        <v>362</v>
      </c>
      <c r="D142" s="47"/>
      <c r="E142" s="46"/>
    </row>
    <row r="143" spans="1:5">
      <c r="A143" s="104"/>
      <c r="B143" s="107"/>
      <c r="C143" s="55" t="s">
        <v>399</v>
      </c>
      <c r="D143" s="47"/>
      <c r="E143" s="46"/>
    </row>
    <row r="144" spans="1:5">
      <c r="A144" s="104"/>
      <c r="B144" s="107"/>
      <c r="C144" s="55" t="s">
        <v>369</v>
      </c>
      <c r="D144" s="47"/>
      <c r="E144" s="46"/>
    </row>
    <row r="145" spans="1:5">
      <c r="A145" s="104"/>
      <c r="B145" s="107"/>
      <c r="C145" s="55" t="s">
        <v>398</v>
      </c>
      <c r="D145" s="47"/>
      <c r="E145" s="46"/>
    </row>
    <row r="146" spans="1:5">
      <c r="A146" s="104"/>
      <c r="B146" s="107"/>
      <c r="C146" s="55" t="s">
        <v>372</v>
      </c>
      <c r="D146" s="47"/>
      <c r="E146" s="46"/>
    </row>
    <row r="147" spans="1:5">
      <c r="A147" s="104"/>
      <c r="B147" s="107"/>
      <c r="C147" s="55" t="s">
        <v>356</v>
      </c>
      <c r="D147" s="47"/>
      <c r="E147" s="46"/>
    </row>
    <row r="148" spans="1:5">
      <c r="A148" s="103">
        <v>15</v>
      </c>
      <c r="B148" s="106">
        <v>45983</v>
      </c>
      <c r="C148" s="54" t="s">
        <v>8</v>
      </c>
      <c r="D148" s="33">
        <v>480000</v>
      </c>
      <c r="E148" s="40"/>
    </row>
    <row r="149" spans="1:5">
      <c r="A149" s="104"/>
      <c r="B149" s="107"/>
      <c r="C149" s="42" t="s">
        <v>405</v>
      </c>
      <c r="D149" s="45"/>
      <c r="E149" s="44"/>
    </row>
    <row r="150" spans="1:5">
      <c r="A150" s="104"/>
      <c r="B150" s="107"/>
      <c r="C150" s="55" t="s">
        <v>433</v>
      </c>
      <c r="D150" s="47"/>
      <c r="E150" s="46"/>
    </row>
    <row r="151" spans="1:5">
      <c r="A151" s="104"/>
      <c r="B151" s="107"/>
      <c r="C151" s="55" t="s">
        <v>255</v>
      </c>
      <c r="D151" s="47"/>
      <c r="E151" s="46"/>
    </row>
    <row r="152" spans="1:5">
      <c r="A152" s="105"/>
      <c r="B152" s="108"/>
      <c r="C152" s="55" t="s">
        <v>372</v>
      </c>
      <c r="D152" s="47"/>
      <c r="E152" s="46"/>
    </row>
    <row r="153" spans="1:5">
      <c r="A153" s="103">
        <v>16</v>
      </c>
      <c r="B153" s="106">
        <v>45984</v>
      </c>
      <c r="C153" s="54" t="s">
        <v>106</v>
      </c>
      <c r="D153" s="33"/>
      <c r="E153" s="40">
        <v>1500000</v>
      </c>
    </row>
    <row r="154" spans="1:5">
      <c r="A154" s="105"/>
      <c r="B154" s="108"/>
      <c r="C154" s="42" t="s">
        <v>404</v>
      </c>
      <c r="D154" s="45"/>
      <c r="E154" s="44"/>
    </row>
    <row r="155" spans="1:5">
      <c r="A155" s="103">
        <v>17</v>
      </c>
      <c r="B155" s="106">
        <v>45984</v>
      </c>
      <c r="C155" s="56" t="s">
        <v>106</v>
      </c>
      <c r="D155" s="45"/>
      <c r="E155" s="46">
        <v>6492000</v>
      </c>
    </row>
    <row r="156" spans="1:5">
      <c r="A156" s="104"/>
      <c r="B156" s="107"/>
      <c r="C156" s="47" t="s">
        <v>426</v>
      </c>
      <c r="D156" s="45"/>
      <c r="E156" s="46"/>
    </row>
    <row r="157" spans="1:5">
      <c r="A157" s="104"/>
      <c r="B157" s="107"/>
      <c r="C157" s="47" t="s">
        <v>384</v>
      </c>
      <c r="D157" s="45"/>
      <c r="E157" s="46"/>
    </row>
    <row r="158" spans="1:5">
      <c r="A158" s="105"/>
      <c r="B158" s="108"/>
      <c r="C158" s="47" t="s">
        <v>184</v>
      </c>
      <c r="D158" s="45"/>
      <c r="E158" s="46"/>
    </row>
    <row r="159" spans="1:5">
      <c r="A159" s="103">
        <v>18</v>
      </c>
      <c r="B159" s="106">
        <v>45986</v>
      </c>
      <c r="C159" s="54" t="s">
        <v>8</v>
      </c>
      <c r="D159" s="33">
        <v>1570000</v>
      </c>
      <c r="E159" s="40"/>
    </row>
    <row r="160" spans="1:5">
      <c r="A160" s="104"/>
      <c r="B160" s="107"/>
      <c r="C160" s="42" t="s">
        <v>366</v>
      </c>
      <c r="D160" s="45"/>
      <c r="E160" s="44"/>
    </row>
    <row r="161" spans="1:5">
      <c r="A161" s="104"/>
      <c r="B161" s="107"/>
      <c r="C161" s="55" t="s">
        <v>410</v>
      </c>
      <c r="D161" s="47"/>
      <c r="E161" s="46"/>
    </row>
    <row r="162" spans="1:5">
      <c r="A162" s="104"/>
      <c r="B162" s="107"/>
      <c r="C162" s="55" t="s">
        <v>407</v>
      </c>
      <c r="D162" s="47"/>
      <c r="E162" s="46"/>
    </row>
    <row r="163" spans="1:5">
      <c r="A163" s="104"/>
      <c r="B163" s="107"/>
      <c r="C163" s="55" t="s">
        <v>12</v>
      </c>
      <c r="D163" s="47"/>
      <c r="E163" s="46"/>
    </row>
    <row r="164" spans="1:5">
      <c r="A164" s="104"/>
      <c r="B164" s="107"/>
      <c r="C164" s="55" t="s">
        <v>322</v>
      </c>
      <c r="D164" s="47"/>
      <c r="E164" s="46"/>
    </row>
    <row r="165" spans="1:5">
      <c r="A165" s="104"/>
      <c r="B165" s="107"/>
      <c r="C165" s="55" t="s">
        <v>394</v>
      </c>
      <c r="D165" s="47"/>
      <c r="E165" s="46"/>
    </row>
    <row r="166" spans="1:5">
      <c r="A166" s="104"/>
      <c r="B166" s="107"/>
      <c r="C166" s="55" t="s">
        <v>221</v>
      </c>
      <c r="D166" s="47"/>
      <c r="E166" s="46"/>
    </row>
    <row r="167" spans="1:5">
      <c r="A167" s="104"/>
      <c r="B167" s="107"/>
      <c r="C167" s="55" t="s">
        <v>369</v>
      </c>
      <c r="D167" s="47"/>
      <c r="E167" s="46"/>
    </row>
    <row r="168" spans="1:5">
      <c r="A168" s="104"/>
      <c r="B168" s="107"/>
      <c r="C168" s="55" t="s">
        <v>215</v>
      </c>
      <c r="D168" s="47"/>
      <c r="E168" s="46"/>
    </row>
    <row r="169" spans="1:5">
      <c r="A169" s="104"/>
      <c r="B169" s="107"/>
      <c r="C169" s="42" t="s">
        <v>408</v>
      </c>
      <c r="D169" s="45"/>
      <c r="E169" s="44"/>
    </row>
    <row r="170" spans="1:5">
      <c r="A170" s="105"/>
      <c r="B170" s="108"/>
      <c r="C170" s="55" t="s">
        <v>406</v>
      </c>
      <c r="D170" s="45"/>
      <c r="E170" s="44"/>
    </row>
    <row r="171" spans="1:5">
      <c r="A171" s="103">
        <v>19</v>
      </c>
      <c r="B171" s="106">
        <v>45987</v>
      </c>
      <c r="C171" s="54" t="s">
        <v>8</v>
      </c>
      <c r="D171" s="33">
        <v>988000</v>
      </c>
      <c r="E171" s="40"/>
    </row>
    <row r="172" spans="1:5">
      <c r="A172" s="104"/>
      <c r="B172" s="107"/>
      <c r="C172" s="42" t="s">
        <v>413</v>
      </c>
      <c r="D172" s="45"/>
      <c r="E172" s="44"/>
    </row>
    <row r="173" spans="1:5">
      <c r="A173" s="104"/>
      <c r="B173" s="107"/>
      <c r="C173" s="55" t="s">
        <v>409</v>
      </c>
      <c r="D173" s="47"/>
      <c r="E173" s="46"/>
    </row>
    <row r="174" spans="1:5">
      <c r="A174" s="104"/>
      <c r="B174" s="107"/>
      <c r="C174" s="55" t="s">
        <v>412</v>
      </c>
      <c r="D174" s="47"/>
      <c r="E174" s="46"/>
    </row>
    <row r="175" spans="1:5">
      <c r="A175" s="104"/>
      <c r="B175" s="107"/>
      <c r="C175" s="55" t="s">
        <v>99</v>
      </c>
      <c r="D175" s="47"/>
      <c r="E175" s="46"/>
    </row>
    <row r="176" spans="1:5">
      <c r="A176" s="104"/>
      <c r="B176" s="107"/>
      <c r="C176" s="55" t="s">
        <v>411</v>
      </c>
      <c r="D176" s="47"/>
      <c r="E176" s="46"/>
    </row>
    <row r="177" spans="1:5">
      <c r="A177" s="104"/>
      <c r="B177" s="107"/>
      <c r="C177" s="55" t="s">
        <v>221</v>
      </c>
      <c r="D177" s="47"/>
      <c r="E177" s="46"/>
    </row>
    <row r="178" spans="1:5">
      <c r="A178" s="104"/>
      <c r="B178" s="107"/>
      <c r="C178" s="55" t="s">
        <v>273</v>
      </c>
      <c r="D178" s="47"/>
      <c r="E178" s="46"/>
    </row>
    <row r="179" spans="1:5">
      <c r="A179" s="104"/>
      <c r="B179" s="107"/>
      <c r="C179" s="55" t="s">
        <v>414</v>
      </c>
      <c r="D179" s="47"/>
      <c r="E179" s="46"/>
    </row>
    <row r="180" spans="1:5">
      <c r="A180" s="105"/>
      <c r="B180" s="108"/>
      <c r="C180" s="55" t="s">
        <v>406</v>
      </c>
      <c r="D180" s="45"/>
      <c r="E180" s="44"/>
    </row>
    <row r="181" spans="1:5">
      <c r="A181" s="103">
        <v>20</v>
      </c>
      <c r="B181" s="106">
        <v>45988</v>
      </c>
      <c r="C181" s="54" t="s">
        <v>8</v>
      </c>
      <c r="D181" s="33">
        <v>1037000</v>
      </c>
      <c r="E181" s="40"/>
    </row>
    <row r="182" spans="1:5">
      <c r="A182" s="104"/>
      <c r="B182" s="107"/>
      <c r="C182" s="42" t="s">
        <v>257</v>
      </c>
      <c r="D182" s="45"/>
      <c r="E182" s="44"/>
    </row>
    <row r="183" spans="1:5">
      <c r="A183" s="104"/>
      <c r="B183" s="107"/>
      <c r="C183" s="55" t="s">
        <v>415</v>
      </c>
      <c r="D183" s="47"/>
      <c r="E183" s="46"/>
    </row>
    <row r="184" spans="1:5">
      <c r="A184" s="104"/>
      <c r="B184" s="107"/>
      <c r="C184" s="55" t="s">
        <v>419</v>
      </c>
      <c r="D184" s="47"/>
      <c r="E184" s="46"/>
    </row>
    <row r="185" spans="1:5">
      <c r="A185" s="104"/>
      <c r="B185" s="107"/>
      <c r="C185" s="55" t="s">
        <v>421</v>
      </c>
      <c r="D185" s="47"/>
      <c r="E185" s="46"/>
    </row>
    <row r="186" spans="1:5">
      <c r="A186" s="104"/>
      <c r="B186" s="107"/>
      <c r="C186" s="55" t="s">
        <v>416</v>
      </c>
      <c r="D186" s="47"/>
      <c r="E186" s="46"/>
    </row>
    <row r="187" spans="1:5">
      <c r="A187" s="104"/>
      <c r="B187" s="107"/>
      <c r="C187" s="55" t="s">
        <v>420</v>
      </c>
      <c r="D187" s="47"/>
      <c r="E187" s="46"/>
    </row>
    <row r="188" spans="1:5">
      <c r="A188" s="104"/>
      <c r="B188" s="107"/>
      <c r="C188" s="55" t="s">
        <v>417</v>
      </c>
      <c r="D188" s="47"/>
      <c r="E188" s="46"/>
    </row>
    <row r="189" spans="1:5">
      <c r="A189" s="104"/>
      <c r="B189" s="107"/>
      <c r="C189" s="55" t="s">
        <v>204</v>
      </c>
      <c r="D189" s="47"/>
      <c r="E189" s="46"/>
    </row>
    <row r="190" spans="1:5">
      <c r="A190" s="104"/>
      <c r="B190" s="107"/>
      <c r="C190" s="42" t="s">
        <v>418</v>
      </c>
      <c r="D190" s="45"/>
      <c r="E190" s="46"/>
    </row>
    <row r="191" spans="1:5">
      <c r="A191" s="105"/>
      <c r="B191" s="108"/>
      <c r="C191" s="55" t="s">
        <v>269</v>
      </c>
      <c r="D191" s="45"/>
      <c r="E191" s="44"/>
    </row>
    <row r="192" spans="1:5">
      <c r="A192" s="103">
        <v>21</v>
      </c>
      <c r="B192" s="106">
        <v>45989</v>
      </c>
      <c r="C192" s="54" t="s">
        <v>8</v>
      </c>
      <c r="D192" s="33">
        <v>1599000</v>
      </c>
      <c r="E192" s="40"/>
    </row>
    <row r="193" spans="1:5">
      <c r="A193" s="104"/>
      <c r="B193" s="107"/>
      <c r="C193" s="42" t="s">
        <v>313</v>
      </c>
      <c r="D193" s="45"/>
      <c r="E193" s="44"/>
    </row>
    <row r="194" spans="1:5">
      <c r="A194" s="104"/>
      <c r="B194" s="107"/>
      <c r="C194" s="55" t="s">
        <v>422</v>
      </c>
      <c r="D194" s="47"/>
      <c r="E194" s="46"/>
    </row>
    <row r="195" spans="1:5">
      <c r="A195" s="104"/>
      <c r="B195" s="107"/>
      <c r="C195" s="55" t="s">
        <v>419</v>
      </c>
      <c r="D195" s="47"/>
      <c r="E195" s="46"/>
    </row>
    <row r="196" spans="1:5">
      <c r="A196" s="104"/>
      <c r="B196" s="107"/>
      <c r="C196" s="55" t="s">
        <v>423</v>
      </c>
      <c r="D196" s="47"/>
      <c r="E196" s="46"/>
    </row>
    <row r="197" spans="1:5">
      <c r="A197" s="104"/>
      <c r="B197" s="107"/>
      <c r="C197" s="55" t="s">
        <v>227</v>
      </c>
      <c r="D197" s="47"/>
      <c r="E197" s="46"/>
    </row>
    <row r="198" spans="1:5">
      <c r="A198" s="104"/>
      <c r="B198" s="107"/>
      <c r="C198" s="55" t="s">
        <v>314</v>
      </c>
      <c r="D198" s="47"/>
      <c r="E198" s="46"/>
    </row>
    <row r="199" spans="1:5">
      <c r="A199" s="104"/>
      <c r="B199" s="107"/>
      <c r="C199" s="55" t="s">
        <v>248</v>
      </c>
      <c r="D199" s="47"/>
      <c r="E199" s="46"/>
    </row>
    <row r="200" spans="1:5">
      <c r="A200" s="104"/>
      <c r="B200" s="107"/>
      <c r="C200" s="42" t="s">
        <v>418</v>
      </c>
      <c r="D200" s="45"/>
      <c r="E200" s="46"/>
    </row>
    <row r="201" spans="1:5">
      <c r="A201" s="105"/>
      <c r="B201" s="108"/>
      <c r="C201" s="55" t="s">
        <v>308</v>
      </c>
      <c r="D201" s="45"/>
      <c r="E201" s="44"/>
    </row>
    <row r="202" spans="1:5">
      <c r="A202" s="103">
        <v>22</v>
      </c>
      <c r="B202" s="106">
        <v>45990</v>
      </c>
      <c r="C202" s="54" t="s">
        <v>8</v>
      </c>
      <c r="D202" s="33">
        <v>830000</v>
      </c>
      <c r="E202" s="40"/>
    </row>
    <row r="203" spans="1:5">
      <c r="A203" s="104"/>
      <c r="B203" s="107"/>
      <c r="C203" s="42" t="s">
        <v>380</v>
      </c>
      <c r="D203" s="45"/>
      <c r="E203" s="44"/>
    </row>
    <row r="204" spans="1:5">
      <c r="A204" s="104"/>
      <c r="B204" s="107"/>
      <c r="C204" s="55" t="s">
        <v>425</v>
      </c>
      <c r="D204" s="47"/>
      <c r="E204" s="46"/>
    </row>
    <row r="205" spans="1:5">
      <c r="A205" s="104"/>
      <c r="B205" s="107"/>
      <c r="C205" s="55" t="s">
        <v>39</v>
      </c>
      <c r="D205" s="47"/>
      <c r="E205" s="46"/>
    </row>
    <row r="206" spans="1:5">
      <c r="A206" s="104"/>
      <c r="B206" s="107"/>
      <c r="C206" s="55" t="s">
        <v>420</v>
      </c>
      <c r="D206" s="47"/>
      <c r="E206" s="46"/>
    </row>
    <row r="207" spans="1:5">
      <c r="A207" s="104"/>
      <c r="B207" s="107"/>
      <c r="C207" s="55" t="s">
        <v>424</v>
      </c>
      <c r="D207" s="47"/>
      <c r="E207" s="46"/>
    </row>
    <row r="208" spans="1:5">
      <c r="A208" s="104"/>
      <c r="B208" s="107"/>
      <c r="C208" s="55" t="s">
        <v>403</v>
      </c>
      <c r="D208" s="47"/>
      <c r="E208" s="46"/>
    </row>
    <row r="209" spans="1:5">
      <c r="A209" s="104"/>
      <c r="B209" s="107"/>
      <c r="C209" s="42" t="s">
        <v>338</v>
      </c>
      <c r="D209" s="45"/>
      <c r="E209" s="46"/>
    </row>
    <row r="210" spans="1:5">
      <c r="A210" s="105"/>
      <c r="B210" s="108"/>
      <c r="C210" s="55" t="s">
        <v>356</v>
      </c>
      <c r="D210" s="45"/>
      <c r="E210" s="44"/>
    </row>
    <row r="211" spans="1:5">
      <c r="A211" s="103">
        <v>23</v>
      </c>
      <c r="B211" s="106">
        <v>45991</v>
      </c>
      <c r="C211" s="54" t="s">
        <v>8</v>
      </c>
      <c r="D211" s="33">
        <v>1103000</v>
      </c>
      <c r="E211" s="40"/>
    </row>
    <row r="212" spans="1:5">
      <c r="A212" s="104"/>
      <c r="B212" s="107"/>
      <c r="C212" s="42" t="s">
        <v>380</v>
      </c>
      <c r="D212" s="45"/>
      <c r="E212" s="44"/>
    </row>
    <row r="213" spans="1:5">
      <c r="A213" s="104"/>
      <c r="B213" s="107"/>
      <c r="C213" s="55" t="s">
        <v>427</v>
      </c>
      <c r="D213" s="47"/>
      <c r="E213" s="46"/>
    </row>
    <row r="214" spans="1:5">
      <c r="A214" s="104"/>
      <c r="B214" s="107"/>
      <c r="C214" s="55" t="s">
        <v>429</v>
      </c>
      <c r="D214" s="47"/>
      <c r="E214" s="46"/>
    </row>
    <row r="215" spans="1:5">
      <c r="A215" s="104"/>
      <c r="B215" s="107"/>
      <c r="C215" s="55" t="s">
        <v>390</v>
      </c>
      <c r="D215" s="47"/>
      <c r="E215" s="46"/>
    </row>
    <row r="216" spans="1:5">
      <c r="A216" s="104"/>
      <c r="B216" s="107"/>
      <c r="C216" s="55" t="s">
        <v>424</v>
      </c>
      <c r="D216" s="47"/>
      <c r="E216" s="46"/>
    </row>
    <row r="217" spans="1:5">
      <c r="A217" s="104"/>
      <c r="B217" s="107"/>
      <c r="C217" s="55" t="s">
        <v>428</v>
      </c>
      <c r="D217" s="47"/>
      <c r="E217" s="46"/>
    </row>
    <row r="218" spans="1:5">
      <c r="A218" s="104"/>
      <c r="B218" s="107"/>
      <c r="C218" s="42" t="s">
        <v>267</v>
      </c>
      <c r="D218" s="45"/>
      <c r="E218" s="46"/>
    </row>
    <row r="219" spans="1:5">
      <c r="A219" s="104"/>
      <c r="B219" s="107"/>
      <c r="C219" s="55" t="s">
        <v>75</v>
      </c>
      <c r="D219" s="45"/>
      <c r="E219" s="44"/>
    </row>
    <row r="220" spans="1:5">
      <c r="A220" s="105"/>
      <c r="B220" s="108"/>
      <c r="C220" s="56" t="s">
        <v>443</v>
      </c>
      <c r="D220" s="33"/>
      <c r="E220" s="46">
        <v>5547000</v>
      </c>
    </row>
    <row r="221" spans="1:5">
      <c r="A221" s="114" t="s">
        <v>13</v>
      </c>
      <c r="B221" s="115"/>
      <c r="C221" s="42"/>
      <c r="D221" s="46">
        <f>+SUM(D22+D34+D10+D55+D68+D45+D83+D88+D78+D105+D117+D148+D126+D138+D91+D181+D192+D211+D159+D171+D202)</f>
        <v>20986000</v>
      </c>
      <c r="E221" s="44">
        <f>SUM(E101+E155+E153+E220)</f>
        <v>18004000</v>
      </c>
    </row>
    <row r="222" spans="1:5">
      <c r="A222" s="116"/>
      <c r="B222" s="117"/>
      <c r="C222" s="48" t="s">
        <v>343</v>
      </c>
      <c r="D222" s="43">
        <f>SUM(D221-E221)</f>
        <v>2982000</v>
      </c>
      <c r="E222" s="44"/>
    </row>
    <row r="223" spans="1:5">
      <c r="D223" s="49"/>
      <c r="E223" s="49"/>
    </row>
    <row r="224" spans="1:5">
      <c r="A224" s="35"/>
      <c r="B224" s="50"/>
      <c r="C224" s="51"/>
      <c r="D224" s="49"/>
      <c r="E224" s="49"/>
    </row>
    <row r="225" spans="1:5">
      <c r="A225" s="35"/>
      <c r="B225" s="50"/>
      <c r="D225" s="52"/>
      <c r="E225" s="49"/>
    </row>
    <row r="226" spans="1:5">
      <c r="A226" s="53"/>
      <c r="B226" s="50"/>
      <c r="D226" s="52"/>
      <c r="E226" s="52"/>
    </row>
    <row r="227" spans="1:5">
      <c r="A227" s="53"/>
      <c r="D227" s="52"/>
      <c r="E227" s="52"/>
    </row>
    <row r="228" spans="1:5">
      <c r="A228" s="53"/>
      <c r="D228" s="52"/>
      <c r="E228" s="52"/>
    </row>
    <row r="229" spans="1:5">
      <c r="A229" s="53"/>
      <c r="E229" s="52"/>
    </row>
    <row r="230" spans="1:5">
      <c r="A230" s="53"/>
    </row>
    <row r="231" spans="1:5">
      <c r="A231" s="53"/>
    </row>
    <row r="232" spans="1:5">
      <c r="A232" s="53"/>
    </row>
    <row r="233" spans="1:5">
      <c r="C233" s="51"/>
    </row>
    <row r="234" spans="1:5">
      <c r="C234" s="51"/>
    </row>
    <row r="235" spans="1:5">
      <c r="C235" s="51"/>
    </row>
    <row r="236" spans="1:5">
      <c r="C236" s="51"/>
    </row>
  </sheetData>
  <mergeCells count="50">
    <mergeCell ref="A221:B222"/>
    <mergeCell ref="A78:A82"/>
    <mergeCell ref="B78:B82"/>
    <mergeCell ref="A83:A87"/>
    <mergeCell ref="B83:B87"/>
    <mergeCell ref="A88:A90"/>
    <mergeCell ref="B88:B90"/>
    <mergeCell ref="A105:A116"/>
    <mergeCell ref="B105:B116"/>
    <mergeCell ref="A117:A125"/>
    <mergeCell ref="B117:B125"/>
    <mergeCell ref="A126:A137"/>
    <mergeCell ref="B126:B137"/>
    <mergeCell ref="A138:A147"/>
    <mergeCell ref="A171:A180"/>
    <mergeCell ref="B171:B180"/>
    <mergeCell ref="A1:E6"/>
    <mergeCell ref="A7:E7"/>
    <mergeCell ref="A8:E8"/>
    <mergeCell ref="A22:A33"/>
    <mergeCell ref="B22:B33"/>
    <mergeCell ref="A10:A21"/>
    <mergeCell ref="B10:B21"/>
    <mergeCell ref="B155:B158"/>
    <mergeCell ref="A91:A104"/>
    <mergeCell ref="B91:B104"/>
    <mergeCell ref="A34:A44"/>
    <mergeCell ref="B34:B44"/>
    <mergeCell ref="A45:A54"/>
    <mergeCell ref="B45:B54"/>
    <mergeCell ref="A55:A67"/>
    <mergeCell ref="B55:B67"/>
    <mergeCell ref="A68:A77"/>
    <mergeCell ref="B68:B77"/>
    <mergeCell ref="A202:A210"/>
    <mergeCell ref="B202:B210"/>
    <mergeCell ref="A211:A220"/>
    <mergeCell ref="B211:B220"/>
    <mergeCell ref="B138:B147"/>
    <mergeCell ref="A181:A191"/>
    <mergeCell ref="B181:B191"/>
    <mergeCell ref="A192:A201"/>
    <mergeCell ref="B192:B201"/>
    <mergeCell ref="A148:A152"/>
    <mergeCell ref="B148:B152"/>
    <mergeCell ref="A159:A170"/>
    <mergeCell ref="B159:B170"/>
    <mergeCell ref="A153:A154"/>
    <mergeCell ref="B153:B154"/>
    <mergeCell ref="A155:A158"/>
  </mergeCells>
  <pageMargins left="0.7" right="0.7" top="0.75" bottom="0.75" header="0.3" footer="0.3"/>
  <pageSetup paperSize="9" orientation="landscape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4B16D-5B3A-4D5A-9FC8-307D3C0C28ED}">
  <dimension ref="B2:N19"/>
  <sheetViews>
    <sheetView topLeftCell="A4" zoomScale="183" workbookViewId="0">
      <selection activeCell="F9" sqref="F9"/>
    </sheetView>
  </sheetViews>
  <sheetFormatPr defaultRowHeight="14.4"/>
  <cols>
    <col min="2" max="2" width="4.109375" customWidth="1"/>
    <col min="3" max="3" width="24.33203125" customWidth="1"/>
    <col min="6" max="6" width="15.77734375" customWidth="1"/>
  </cols>
  <sheetData>
    <row r="2" spans="2:14">
      <c r="B2" s="120" t="s">
        <v>454</v>
      </c>
      <c r="C2" s="120"/>
      <c r="D2" s="120"/>
      <c r="E2" s="120"/>
      <c r="F2" s="120"/>
    </row>
    <row r="3" spans="2:14">
      <c r="B3" s="60" t="s">
        <v>445</v>
      </c>
      <c r="C3" s="60" t="s">
        <v>446</v>
      </c>
      <c r="D3" s="60" t="s">
        <v>447</v>
      </c>
      <c r="E3" s="60" t="s">
        <v>448</v>
      </c>
      <c r="F3" s="60" t="s">
        <v>13</v>
      </c>
    </row>
    <row r="4" spans="2:14">
      <c r="B4" s="61">
        <v>1</v>
      </c>
      <c r="C4" s="59" t="s">
        <v>449</v>
      </c>
      <c r="D4" s="61">
        <v>8</v>
      </c>
      <c r="E4" s="63">
        <v>15000</v>
      </c>
      <c r="F4" s="63">
        <f>SUM(D4*E4)</f>
        <v>120000</v>
      </c>
    </row>
    <row r="5" spans="2:14">
      <c r="B5" s="61">
        <v>2</v>
      </c>
      <c r="C5" s="59" t="s">
        <v>450</v>
      </c>
      <c r="D5" s="61">
        <v>8</v>
      </c>
      <c r="E5" s="63">
        <v>11000</v>
      </c>
      <c r="F5" s="63">
        <f t="shared" ref="F5:F8" si="0">SUM(D5*E5)</f>
        <v>88000</v>
      </c>
    </row>
    <row r="6" spans="2:14">
      <c r="B6" s="61">
        <v>3</v>
      </c>
      <c r="C6" s="59" t="s">
        <v>451</v>
      </c>
      <c r="D6" s="61">
        <v>34</v>
      </c>
      <c r="E6" s="63">
        <v>12000</v>
      </c>
      <c r="F6" s="63">
        <f t="shared" si="0"/>
        <v>408000</v>
      </c>
    </row>
    <row r="7" spans="2:14">
      <c r="B7" s="61">
        <v>4</v>
      </c>
      <c r="C7" s="59" t="s">
        <v>452</v>
      </c>
      <c r="D7" s="61">
        <v>3</v>
      </c>
      <c r="E7" s="63">
        <v>13000</v>
      </c>
      <c r="F7" s="63">
        <f t="shared" si="0"/>
        <v>39000</v>
      </c>
    </row>
    <row r="8" spans="2:14">
      <c r="B8" s="61">
        <v>5</v>
      </c>
      <c r="C8" s="59" t="s">
        <v>453</v>
      </c>
      <c r="D8" s="61">
        <v>48</v>
      </c>
      <c r="E8" s="63">
        <v>10000</v>
      </c>
      <c r="F8" s="63">
        <f t="shared" si="0"/>
        <v>480000</v>
      </c>
    </row>
    <row r="9" spans="2:14">
      <c r="B9" s="62"/>
      <c r="C9" s="118" t="s">
        <v>13</v>
      </c>
      <c r="D9" s="118"/>
      <c r="E9" s="119"/>
      <c r="F9" s="64">
        <f>SUM(F4:F8)</f>
        <v>1135000</v>
      </c>
    </row>
    <row r="15" spans="2:14">
      <c r="N15" s="58"/>
    </row>
    <row r="19" spans="14:14">
      <c r="N19" s="58"/>
    </row>
  </sheetData>
  <mergeCells count="2">
    <mergeCell ref="C9:E9"/>
    <mergeCell ref="B2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354B8-D5EB-4296-82D7-9BA729809D8F}">
  <dimension ref="B3:F6"/>
  <sheetViews>
    <sheetView workbookViewId="0">
      <selection activeCell="F12" sqref="F12"/>
    </sheetView>
  </sheetViews>
  <sheetFormatPr defaultRowHeight="14.4"/>
  <cols>
    <col min="3" max="3" width="17.21875" customWidth="1"/>
    <col min="4" max="4" width="14.77734375" customWidth="1"/>
    <col min="5" max="5" width="14.44140625" customWidth="1"/>
    <col min="6" max="6" width="16.109375" customWidth="1"/>
  </cols>
  <sheetData>
    <row r="3" spans="2:6">
      <c r="B3" s="121" t="s">
        <v>480</v>
      </c>
      <c r="C3" s="122"/>
      <c r="D3" s="122"/>
      <c r="E3" s="122"/>
      <c r="F3" s="123"/>
    </row>
    <row r="4" spans="2:6">
      <c r="B4" s="61" t="s">
        <v>445</v>
      </c>
      <c r="C4" s="61" t="s">
        <v>446</v>
      </c>
      <c r="D4" s="61" t="s">
        <v>447</v>
      </c>
      <c r="E4" s="61" t="s">
        <v>448</v>
      </c>
      <c r="F4" s="61" t="s">
        <v>13</v>
      </c>
    </row>
    <row r="5" spans="2:6">
      <c r="B5" s="61">
        <v>1</v>
      </c>
      <c r="C5" s="61" t="s">
        <v>450</v>
      </c>
      <c r="D5" s="61">
        <v>12</v>
      </c>
      <c r="E5" s="67">
        <v>11000</v>
      </c>
      <c r="F5" s="67">
        <v>132000</v>
      </c>
    </row>
    <row r="6" spans="2:6">
      <c r="B6" s="121" t="s">
        <v>13</v>
      </c>
      <c r="C6" s="122"/>
      <c r="D6" s="122"/>
      <c r="E6" s="123"/>
      <c r="F6" s="68">
        <v>132000</v>
      </c>
    </row>
  </sheetData>
  <mergeCells count="2">
    <mergeCell ref="B3:F3"/>
    <mergeCell ref="B6:E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D296D-5839-49F6-9268-9F6BE9014EFF}">
  <dimension ref="A1:E107"/>
  <sheetViews>
    <sheetView topLeftCell="A73" zoomScale="90" zoomScaleNormal="86" workbookViewId="0">
      <selection activeCell="D47" sqref="D47"/>
    </sheetView>
  </sheetViews>
  <sheetFormatPr defaultRowHeight="14.4"/>
  <cols>
    <col min="2" max="2" width="9.88671875" bestFit="1" customWidth="1"/>
    <col min="3" max="3" width="54.6640625" customWidth="1"/>
    <col min="4" max="4" width="38" customWidth="1"/>
    <col min="5" max="5" width="43.6640625" customWidth="1"/>
  </cols>
  <sheetData>
    <row r="1" spans="1:5">
      <c r="A1" s="109"/>
      <c r="B1" s="110"/>
      <c r="C1" s="110"/>
      <c r="D1" s="110"/>
      <c r="E1" s="110"/>
    </row>
    <row r="2" spans="1:5">
      <c r="A2" s="110"/>
      <c r="B2" s="110"/>
      <c r="C2" s="110"/>
      <c r="D2" s="110"/>
      <c r="E2" s="110"/>
    </row>
    <row r="3" spans="1:5">
      <c r="A3" s="110"/>
      <c r="B3" s="110"/>
      <c r="C3" s="110"/>
      <c r="D3" s="110"/>
      <c r="E3" s="110"/>
    </row>
    <row r="4" spans="1:5">
      <c r="A4" s="110"/>
      <c r="B4" s="110"/>
      <c r="C4" s="110"/>
      <c r="D4" s="110"/>
      <c r="E4" s="110"/>
    </row>
    <row r="5" spans="1:5">
      <c r="A5" s="110"/>
      <c r="B5" s="110"/>
      <c r="C5" s="110"/>
      <c r="D5" s="110"/>
      <c r="E5" s="110"/>
    </row>
    <row r="6" spans="1:5">
      <c r="A6" s="110"/>
      <c r="B6" s="110"/>
      <c r="C6" s="110"/>
      <c r="D6" s="110"/>
      <c r="E6" s="110"/>
    </row>
    <row r="7" spans="1:5" ht="15.6">
      <c r="A7" s="111" t="s">
        <v>0</v>
      </c>
      <c r="B7" s="111"/>
      <c r="C7" s="111"/>
      <c r="D7" s="111"/>
      <c r="E7" s="111"/>
    </row>
    <row r="8" spans="1:5" ht="15.6">
      <c r="A8" s="112" t="s">
        <v>459</v>
      </c>
      <c r="B8" s="112"/>
      <c r="C8" s="112"/>
      <c r="D8" s="112"/>
      <c r="E8" s="112"/>
    </row>
    <row r="9" spans="1:5" ht="15.6">
      <c r="A9" s="36" t="s">
        <v>1</v>
      </c>
      <c r="B9" s="37" t="s">
        <v>2</v>
      </c>
      <c r="C9" s="36" t="s">
        <v>3</v>
      </c>
      <c r="D9" s="40" t="s">
        <v>4</v>
      </c>
      <c r="E9" s="40" t="s">
        <v>5</v>
      </c>
    </row>
    <row r="10" spans="1:5" ht="15.6">
      <c r="A10" s="36">
        <v>1</v>
      </c>
      <c r="B10" s="65">
        <v>45992</v>
      </c>
      <c r="C10" s="57" t="s">
        <v>444</v>
      </c>
      <c r="D10" s="46">
        <v>5547000</v>
      </c>
      <c r="E10" s="40"/>
    </row>
    <row r="11" spans="1:5" ht="15.6">
      <c r="A11" s="124">
        <v>2</v>
      </c>
      <c r="B11" s="125">
        <v>45994</v>
      </c>
      <c r="C11" s="41" t="s">
        <v>8</v>
      </c>
      <c r="D11" s="46">
        <v>607000</v>
      </c>
      <c r="E11" s="40"/>
    </row>
    <row r="12" spans="1:5" ht="15.6">
      <c r="A12" s="124"/>
      <c r="B12" s="125"/>
      <c r="C12" s="42" t="s">
        <v>421</v>
      </c>
      <c r="D12" s="44"/>
      <c r="E12" s="44"/>
    </row>
    <row r="13" spans="1:5" ht="15.6">
      <c r="A13" s="124"/>
      <c r="B13" s="125"/>
      <c r="C13" s="42" t="s">
        <v>250</v>
      </c>
      <c r="D13" s="47"/>
      <c r="E13" s="44"/>
    </row>
    <row r="14" spans="1:5" ht="15.6">
      <c r="A14" s="124"/>
      <c r="B14" s="125"/>
      <c r="C14" s="47" t="s">
        <v>432</v>
      </c>
      <c r="D14" s="47"/>
      <c r="E14" s="44"/>
    </row>
    <row r="15" spans="1:5" ht="15.6">
      <c r="A15" s="124"/>
      <c r="B15" s="125"/>
      <c r="C15" s="42" t="s">
        <v>431</v>
      </c>
      <c r="D15" s="47"/>
      <c r="E15" s="44"/>
    </row>
    <row r="16" spans="1:5" ht="15.6">
      <c r="A16" s="124"/>
      <c r="B16" s="125"/>
      <c r="C16" s="47" t="s">
        <v>295</v>
      </c>
      <c r="D16" s="47"/>
      <c r="E16" s="46"/>
    </row>
    <row r="17" spans="1:5" ht="15.6">
      <c r="A17" s="124">
        <v>3</v>
      </c>
      <c r="B17" s="125">
        <v>45995</v>
      </c>
      <c r="C17" s="41" t="s">
        <v>8</v>
      </c>
      <c r="D17" s="46">
        <v>536000</v>
      </c>
      <c r="E17" s="40"/>
    </row>
    <row r="18" spans="1:5" ht="15.6">
      <c r="A18" s="124"/>
      <c r="B18" s="125"/>
      <c r="C18" s="47" t="s">
        <v>434</v>
      </c>
      <c r="D18" s="47"/>
      <c r="E18" s="44"/>
    </row>
    <row r="19" spans="1:5" ht="15.6">
      <c r="A19" s="124"/>
      <c r="B19" s="125"/>
      <c r="C19" s="42" t="s">
        <v>435</v>
      </c>
      <c r="D19" s="47"/>
      <c r="E19" s="44"/>
    </row>
    <row r="20" spans="1:5" ht="15.6">
      <c r="A20" s="124"/>
      <c r="B20" s="125"/>
      <c r="C20" s="55" t="s">
        <v>356</v>
      </c>
      <c r="D20" s="47"/>
      <c r="E20" s="44"/>
    </row>
    <row r="21" spans="1:5" ht="15.6">
      <c r="A21" s="124"/>
      <c r="B21" s="125"/>
      <c r="C21" s="56" t="s">
        <v>106</v>
      </c>
      <c r="D21" s="47"/>
      <c r="E21" s="46">
        <v>5547000</v>
      </c>
    </row>
    <row r="22" spans="1:5" ht="15.6">
      <c r="A22" s="124"/>
      <c r="B22" s="125"/>
      <c r="C22" s="47" t="s">
        <v>436</v>
      </c>
      <c r="D22" s="47"/>
      <c r="E22" s="46"/>
    </row>
    <row r="23" spans="1:5" ht="15.6">
      <c r="A23" s="124"/>
      <c r="B23" s="125"/>
      <c r="C23" s="47" t="s">
        <v>384</v>
      </c>
      <c r="D23" s="47"/>
      <c r="E23" s="46"/>
    </row>
    <row r="24" spans="1:5" ht="15.6">
      <c r="A24" s="124"/>
      <c r="B24" s="125"/>
      <c r="C24" s="47" t="s">
        <v>184</v>
      </c>
      <c r="D24" s="47"/>
      <c r="E24" s="46"/>
    </row>
    <row r="25" spans="1:5" ht="15.6">
      <c r="A25" s="124">
        <v>4</v>
      </c>
      <c r="B25" s="125">
        <v>45996</v>
      </c>
      <c r="C25" s="41" t="s">
        <v>8</v>
      </c>
      <c r="D25" s="46">
        <v>2172000</v>
      </c>
      <c r="E25" s="40"/>
    </row>
    <row r="26" spans="1:5" ht="15.6">
      <c r="A26" s="124"/>
      <c r="B26" s="125"/>
      <c r="C26" s="47" t="s">
        <v>437</v>
      </c>
      <c r="D26" s="47"/>
      <c r="E26" s="44"/>
    </row>
    <row r="27" spans="1:5" ht="15.6">
      <c r="A27" s="124"/>
      <c r="B27" s="125"/>
      <c r="C27" s="42" t="s">
        <v>438</v>
      </c>
      <c r="D27" s="47"/>
      <c r="E27" s="44"/>
    </row>
    <row r="28" spans="1:5" ht="14.4" customHeight="1">
      <c r="A28" s="124"/>
      <c r="B28" s="125"/>
      <c r="C28" s="55" t="s">
        <v>439</v>
      </c>
      <c r="D28" s="47"/>
      <c r="E28" s="44"/>
    </row>
    <row r="29" spans="1:5" ht="14.4" customHeight="1">
      <c r="A29" s="124"/>
      <c r="B29" s="125"/>
      <c r="C29" s="47" t="s">
        <v>440</v>
      </c>
      <c r="D29" s="47"/>
      <c r="E29" s="46"/>
    </row>
    <row r="30" spans="1:5" ht="14.4" customHeight="1">
      <c r="A30" s="124"/>
      <c r="B30" s="125"/>
      <c r="C30" s="47" t="s">
        <v>441</v>
      </c>
      <c r="D30" s="47"/>
      <c r="E30" s="46"/>
    </row>
    <row r="31" spans="1:5" ht="14.4" customHeight="1">
      <c r="A31" s="124"/>
      <c r="B31" s="125"/>
      <c r="C31" s="47" t="s">
        <v>441</v>
      </c>
      <c r="D31" s="47"/>
      <c r="E31" s="46"/>
    </row>
    <row r="32" spans="1:5" ht="15.6">
      <c r="A32" s="124"/>
      <c r="B32" s="125"/>
      <c r="C32" s="47" t="s">
        <v>442</v>
      </c>
      <c r="D32" s="47"/>
      <c r="E32" s="46"/>
    </row>
    <row r="33" spans="1:5" ht="15.6">
      <c r="A33" s="124">
        <v>5</v>
      </c>
      <c r="B33" s="125">
        <v>46000</v>
      </c>
      <c r="C33" s="41" t="s">
        <v>8</v>
      </c>
      <c r="D33" s="46">
        <v>975000</v>
      </c>
      <c r="E33" s="40"/>
    </row>
    <row r="34" spans="1:5" ht="15.6">
      <c r="A34" s="124"/>
      <c r="B34" s="125"/>
      <c r="C34" s="47" t="s">
        <v>16</v>
      </c>
      <c r="D34" s="47"/>
      <c r="E34" s="44"/>
    </row>
    <row r="35" spans="1:5" ht="15.6">
      <c r="A35" s="124"/>
      <c r="B35" s="125"/>
      <c r="C35" s="42" t="s">
        <v>455</v>
      </c>
      <c r="D35" s="47"/>
      <c r="E35" s="44"/>
    </row>
    <row r="36" spans="1:5" ht="15.6">
      <c r="A36" s="124"/>
      <c r="B36" s="125"/>
      <c r="C36" s="55" t="s">
        <v>408</v>
      </c>
      <c r="D36" s="47"/>
      <c r="E36" s="44"/>
    </row>
    <row r="37" spans="1:5" ht="15.6">
      <c r="A37" s="124"/>
      <c r="B37" s="125"/>
      <c r="C37" s="47" t="s">
        <v>390</v>
      </c>
      <c r="D37" s="47"/>
      <c r="E37" s="46"/>
    </row>
    <row r="38" spans="1:5" ht="15.6">
      <c r="A38" s="124"/>
      <c r="B38" s="125"/>
      <c r="C38" s="47" t="s">
        <v>456</v>
      </c>
      <c r="D38" s="47"/>
      <c r="E38" s="46"/>
    </row>
    <row r="39" spans="1:5" ht="15.6">
      <c r="A39" s="124"/>
      <c r="B39" s="125"/>
      <c r="C39" s="47" t="s">
        <v>346</v>
      </c>
      <c r="D39" s="47"/>
      <c r="E39" s="46"/>
    </row>
    <row r="40" spans="1:5" ht="15.6">
      <c r="A40" s="124">
        <v>6</v>
      </c>
      <c r="B40" s="125">
        <v>46001</v>
      </c>
      <c r="C40" s="41" t="s">
        <v>8</v>
      </c>
      <c r="D40" s="46">
        <v>828000</v>
      </c>
      <c r="E40" s="40"/>
    </row>
    <row r="41" spans="1:5" ht="15.6">
      <c r="A41" s="124"/>
      <c r="B41" s="125"/>
      <c r="C41" s="47" t="s">
        <v>95</v>
      </c>
      <c r="D41" s="47"/>
      <c r="E41" s="44"/>
    </row>
    <row r="42" spans="1:5" ht="15.6">
      <c r="A42" s="124"/>
      <c r="B42" s="125"/>
      <c r="C42" s="47" t="s">
        <v>405</v>
      </c>
      <c r="D42" s="47"/>
      <c r="E42" s="44"/>
    </row>
    <row r="43" spans="1:5" ht="15.6">
      <c r="A43" s="124"/>
      <c r="B43" s="125"/>
      <c r="C43" s="42" t="s">
        <v>458</v>
      </c>
      <c r="D43" s="47"/>
      <c r="E43" s="44"/>
    </row>
    <row r="44" spans="1:5" ht="15.6">
      <c r="A44" s="124"/>
      <c r="B44" s="125"/>
      <c r="C44" s="55" t="s">
        <v>408</v>
      </c>
      <c r="D44" s="47"/>
      <c r="E44" s="44"/>
    </row>
    <row r="45" spans="1:5" ht="15.6">
      <c r="A45" s="124"/>
      <c r="B45" s="125"/>
      <c r="C45" s="47" t="s">
        <v>250</v>
      </c>
      <c r="D45" s="47"/>
      <c r="E45" s="46"/>
    </row>
    <row r="46" spans="1:5" ht="15.6">
      <c r="A46" s="124"/>
      <c r="B46" s="125"/>
      <c r="C46" s="47" t="s">
        <v>441</v>
      </c>
      <c r="D46" s="47"/>
      <c r="E46" s="46"/>
    </row>
    <row r="47" spans="1:5" ht="15.6">
      <c r="A47" s="124"/>
      <c r="B47" s="125"/>
      <c r="C47" s="47" t="s">
        <v>457</v>
      </c>
      <c r="D47" s="47"/>
      <c r="E47" s="46"/>
    </row>
    <row r="48" spans="1:5" ht="15.6">
      <c r="A48" s="124">
        <v>7</v>
      </c>
      <c r="B48" s="125">
        <v>46002</v>
      </c>
      <c r="C48" s="41" t="s">
        <v>8</v>
      </c>
      <c r="D48" s="46">
        <v>1033000</v>
      </c>
      <c r="E48" s="40"/>
    </row>
    <row r="49" spans="1:5" ht="15.6">
      <c r="A49" s="124"/>
      <c r="B49" s="125"/>
      <c r="C49" s="47" t="s">
        <v>460</v>
      </c>
      <c r="D49" s="47"/>
      <c r="E49" s="44"/>
    </row>
    <row r="50" spans="1:5" ht="15.6">
      <c r="A50" s="124"/>
      <c r="B50" s="125"/>
      <c r="C50" s="42" t="s">
        <v>461</v>
      </c>
      <c r="D50" s="47"/>
      <c r="E50" s="44"/>
    </row>
    <row r="51" spans="1:5" ht="15.6">
      <c r="A51" s="124"/>
      <c r="B51" s="125"/>
      <c r="C51" s="55" t="s">
        <v>462</v>
      </c>
      <c r="D51" s="47"/>
      <c r="E51" s="44"/>
    </row>
    <row r="52" spans="1:5" ht="15.6">
      <c r="A52" s="124"/>
      <c r="B52" s="125"/>
      <c r="C52" s="47" t="s">
        <v>390</v>
      </c>
      <c r="D52" s="47"/>
      <c r="E52" s="46"/>
    </row>
    <row r="53" spans="1:5" ht="15.6">
      <c r="A53" s="124"/>
      <c r="B53" s="125"/>
      <c r="C53" s="47" t="s">
        <v>456</v>
      </c>
      <c r="D53" s="47"/>
      <c r="E53" s="46"/>
    </row>
    <row r="54" spans="1:5" ht="15.6">
      <c r="A54" s="124"/>
      <c r="B54" s="125"/>
      <c r="C54" s="47" t="s">
        <v>346</v>
      </c>
      <c r="D54" s="47"/>
      <c r="E54" s="46"/>
    </row>
    <row r="55" spans="1:5" ht="15.6">
      <c r="A55" s="124">
        <v>8</v>
      </c>
      <c r="B55" s="125">
        <v>46003</v>
      </c>
      <c r="C55" s="56" t="s">
        <v>106</v>
      </c>
      <c r="D55" s="47"/>
      <c r="E55" s="46">
        <v>4061600</v>
      </c>
    </row>
    <row r="56" spans="1:5" ht="15.6">
      <c r="A56" s="124"/>
      <c r="B56" s="125"/>
      <c r="C56" s="47" t="s">
        <v>476</v>
      </c>
      <c r="D56" s="47"/>
      <c r="E56" s="46"/>
    </row>
    <row r="57" spans="1:5" ht="15.6">
      <c r="A57" s="124"/>
      <c r="B57" s="125"/>
      <c r="C57" s="47" t="s">
        <v>384</v>
      </c>
      <c r="D57" s="47"/>
      <c r="E57" s="46"/>
    </row>
    <row r="58" spans="1:5" ht="15.6">
      <c r="A58" s="124"/>
      <c r="B58" s="125"/>
      <c r="C58" s="47" t="s">
        <v>184</v>
      </c>
      <c r="D58" s="47"/>
      <c r="E58" s="46"/>
    </row>
    <row r="59" spans="1:5" ht="15.6">
      <c r="A59" s="124"/>
      <c r="B59" s="125"/>
      <c r="C59" s="41" t="s">
        <v>8</v>
      </c>
      <c r="D59" s="46">
        <v>1090000</v>
      </c>
      <c r="E59" s="40"/>
    </row>
    <row r="60" spans="1:5" ht="15.6">
      <c r="A60" s="124"/>
      <c r="B60" s="125"/>
      <c r="C60" s="47" t="s">
        <v>231</v>
      </c>
      <c r="D60" s="47"/>
      <c r="E60" s="44"/>
    </row>
    <row r="61" spans="1:5" ht="15.6">
      <c r="A61" s="124"/>
      <c r="B61" s="125"/>
      <c r="C61" s="42" t="s">
        <v>263</v>
      </c>
      <c r="D61" s="47"/>
      <c r="E61" s="44"/>
    </row>
    <row r="62" spans="1:5" ht="15.6">
      <c r="A62" s="124"/>
      <c r="B62" s="125"/>
      <c r="C62" s="55" t="s">
        <v>463</v>
      </c>
      <c r="D62" s="47"/>
      <c r="E62" s="44"/>
    </row>
    <row r="63" spans="1:5" ht="15.6">
      <c r="A63" s="124"/>
      <c r="B63" s="125"/>
      <c r="C63" s="47" t="s">
        <v>258</v>
      </c>
      <c r="D63" s="47"/>
      <c r="E63" s="46"/>
    </row>
    <row r="64" spans="1:5" ht="15.6">
      <c r="A64" s="124"/>
      <c r="B64" s="125"/>
      <c r="C64" s="47" t="s">
        <v>464</v>
      </c>
      <c r="D64" s="47"/>
      <c r="E64" s="46"/>
    </row>
    <row r="65" spans="1:5" ht="15.6">
      <c r="A65" s="124"/>
      <c r="B65" s="125"/>
      <c r="C65" s="47" t="s">
        <v>465</v>
      </c>
      <c r="D65" s="47"/>
      <c r="E65" s="46"/>
    </row>
    <row r="66" spans="1:5" ht="15.6">
      <c r="A66" s="124"/>
      <c r="B66" s="125"/>
      <c r="C66" s="47" t="s">
        <v>457</v>
      </c>
      <c r="D66" s="47"/>
      <c r="E66" s="46"/>
    </row>
    <row r="67" spans="1:5" ht="15.6">
      <c r="A67" s="103">
        <v>9</v>
      </c>
      <c r="B67" s="106">
        <v>46007</v>
      </c>
      <c r="C67" s="56" t="s">
        <v>106</v>
      </c>
      <c r="D67" s="47"/>
      <c r="E67" s="46">
        <v>2670000</v>
      </c>
    </row>
    <row r="68" spans="1:5" ht="15.6">
      <c r="A68" s="104"/>
      <c r="B68" s="107"/>
      <c r="C68" s="47" t="s">
        <v>474</v>
      </c>
      <c r="D68" s="47"/>
      <c r="E68" s="46"/>
    </row>
    <row r="69" spans="1:5" ht="15.6">
      <c r="A69" s="104"/>
      <c r="B69" s="107"/>
      <c r="C69" s="47" t="s">
        <v>475</v>
      </c>
      <c r="D69" s="47"/>
      <c r="E69" s="46"/>
    </row>
    <row r="70" spans="1:5" ht="15.6">
      <c r="A70" s="104"/>
      <c r="B70" s="107"/>
      <c r="C70" s="66" t="s">
        <v>183</v>
      </c>
      <c r="D70" s="47"/>
      <c r="E70" s="46"/>
    </row>
    <row r="71" spans="1:5" ht="15.6">
      <c r="A71" s="104"/>
      <c r="B71" s="107"/>
      <c r="C71" s="41" t="s">
        <v>8</v>
      </c>
      <c r="D71" s="46">
        <v>4379000</v>
      </c>
      <c r="E71" s="40"/>
    </row>
    <row r="72" spans="1:5" ht="15.6">
      <c r="A72" s="104"/>
      <c r="B72" s="107"/>
      <c r="C72" s="47" t="s">
        <v>466</v>
      </c>
      <c r="D72" s="47"/>
      <c r="E72" s="44"/>
    </row>
    <row r="73" spans="1:5" ht="15.6">
      <c r="A73" s="104"/>
      <c r="B73" s="107"/>
      <c r="C73" s="42" t="s">
        <v>471</v>
      </c>
      <c r="D73" s="47"/>
      <c r="E73" s="44"/>
    </row>
    <row r="74" spans="1:5" ht="15.6">
      <c r="A74" s="104"/>
      <c r="B74" s="107"/>
      <c r="C74" s="55" t="s">
        <v>467</v>
      </c>
      <c r="D74" s="47"/>
      <c r="E74" s="44"/>
    </row>
    <row r="75" spans="1:5" ht="15.6">
      <c r="A75" s="104"/>
      <c r="B75" s="107"/>
      <c r="C75" s="47" t="s">
        <v>468</v>
      </c>
      <c r="D75" s="47"/>
      <c r="E75" s="46"/>
    </row>
    <row r="76" spans="1:5" ht="15.6">
      <c r="A76" s="104"/>
      <c r="B76" s="107"/>
      <c r="C76" s="47" t="s">
        <v>469</v>
      </c>
      <c r="D76" s="47"/>
      <c r="E76" s="46"/>
    </row>
    <row r="77" spans="1:5" ht="15.6">
      <c r="A77" s="104"/>
      <c r="B77" s="107"/>
      <c r="C77" s="47" t="s">
        <v>432</v>
      </c>
      <c r="D77" s="47"/>
      <c r="E77" s="46"/>
    </row>
    <row r="78" spans="1:5" ht="15.6">
      <c r="A78" s="104"/>
      <c r="B78" s="107"/>
      <c r="C78" s="47" t="s">
        <v>473</v>
      </c>
      <c r="D78" s="47"/>
      <c r="E78" s="46"/>
    </row>
    <row r="79" spans="1:5" ht="15.6">
      <c r="A79" s="104"/>
      <c r="B79" s="107"/>
      <c r="C79" s="47" t="s">
        <v>472</v>
      </c>
      <c r="D79" s="47"/>
      <c r="E79" s="46"/>
    </row>
    <row r="80" spans="1:5" ht="15.6">
      <c r="A80" s="104"/>
      <c r="B80" s="107"/>
      <c r="C80" s="47" t="s">
        <v>91</v>
      </c>
      <c r="D80" s="47"/>
      <c r="E80" s="46"/>
    </row>
    <row r="81" spans="1:5" ht="15.6">
      <c r="A81" s="105"/>
      <c r="B81" s="108"/>
      <c r="C81" s="47" t="s">
        <v>470</v>
      </c>
      <c r="D81" s="46"/>
      <c r="E81" s="40"/>
    </row>
    <row r="82" spans="1:5" ht="15.6">
      <c r="A82" s="36">
        <v>10</v>
      </c>
      <c r="B82" s="65">
        <v>46008</v>
      </c>
      <c r="C82" s="57" t="s">
        <v>477</v>
      </c>
      <c r="E82" s="46">
        <v>3500000</v>
      </c>
    </row>
    <row r="83" spans="1:5" ht="15.6">
      <c r="A83" s="124" t="s">
        <v>13</v>
      </c>
      <c r="B83" s="124"/>
      <c r="C83" s="48" t="s">
        <v>430</v>
      </c>
      <c r="D83" s="46">
        <f>+SUM(+D11+D71+D17+D10+D25+D33+D40+D48+D59)</f>
        <v>17167000</v>
      </c>
      <c r="E83" s="44">
        <f>SUM(E21+E67+E55+E82)</f>
        <v>15778600</v>
      </c>
    </row>
    <row r="84" spans="1:5" ht="15.6">
      <c r="A84" s="124"/>
      <c r="B84" s="124"/>
      <c r="C84" s="47"/>
      <c r="D84" s="44">
        <f>SUM(D83-E83)</f>
        <v>1388400</v>
      </c>
      <c r="E84" s="44"/>
    </row>
    <row r="85" spans="1:5" ht="15.6">
      <c r="A85" s="51"/>
      <c r="B85" s="51"/>
      <c r="C85" s="51"/>
      <c r="D85" s="51"/>
      <c r="E85" s="49"/>
    </row>
    <row r="86" spans="1:5" ht="15.6">
      <c r="A86" s="34"/>
      <c r="B86" s="34"/>
      <c r="C86" s="34"/>
    </row>
    <row r="87" spans="1:5" ht="15.6">
      <c r="A87" s="35"/>
      <c r="B87" s="50"/>
      <c r="C87" s="34"/>
      <c r="D87" s="52"/>
      <c r="E87" s="49"/>
    </row>
    <row r="88" spans="1:5" ht="15.6">
      <c r="A88" s="35"/>
      <c r="B88" s="50"/>
      <c r="C88" s="34"/>
      <c r="D88" s="52"/>
      <c r="E88" s="52"/>
    </row>
    <row r="89" spans="1:5" ht="15.6">
      <c r="A89" s="53"/>
      <c r="B89" s="50"/>
      <c r="C89" s="34"/>
      <c r="D89" s="52"/>
      <c r="E89" s="52"/>
    </row>
    <row r="90" spans="1:5" ht="15.6">
      <c r="A90" s="53"/>
      <c r="B90" s="34"/>
      <c r="C90" s="34"/>
      <c r="D90" s="52"/>
      <c r="E90" s="52"/>
    </row>
    <row r="91" spans="1:5" ht="15.6">
      <c r="A91" s="53"/>
      <c r="B91" s="34"/>
      <c r="C91" s="34"/>
      <c r="D91" s="34"/>
      <c r="E91" s="52"/>
    </row>
    <row r="92" spans="1:5" ht="15.6">
      <c r="A92" s="53"/>
      <c r="B92" s="34"/>
      <c r="C92" s="34"/>
      <c r="D92" s="34"/>
      <c r="E92" s="34"/>
    </row>
    <row r="93" spans="1:5" ht="15.6">
      <c r="A93" s="53"/>
      <c r="B93" s="34"/>
      <c r="C93" s="34"/>
      <c r="D93" s="34"/>
      <c r="E93" s="34"/>
    </row>
    <row r="94" spans="1:5" ht="15.6">
      <c r="A94" s="53"/>
      <c r="B94" s="34"/>
      <c r="C94" s="51"/>
      <c r="D94" s="34"/>
      <c r="E94" s="34"/>
    </row>
    <row r="95" spans="1:5" ht="15.6">
      <c r="A95" s="53"/>
      <c r="B95" s="34"/>
      <c r="C95" s="51"/>
      <c r="D95" s="34"/>
      <c r="E95" s="34"/>
    </row>
    <row r="96" spans="1:5" ht="15.6">
      <c r="A96" s="34"/>
      <c r="B96" s="34"/>
      <c r="C96" s="51"/>
      <c r="D96" s="34"/>
      <c r="E96" s="34"/>
    </row>
    <row r="97" spans="1:5" ht="15.6">
      <c r="A97" s="34"/>
      <c r="B97" s="34"/>
      <c r="C97" s="51"/>
      <c r="D97" s="34"/>
      <c r="E97" s="34"/>
    </row>
    <row r="98" spans="1:5" ht="15.6">
      <c r="A98" s="34"/>
      <c r="B98" s="34"/>
      <c r="C98" s="34"/>
      <c r="D98" s="34"/>
      <c r="E98" s="34"/>
    </row>
    <row r="99" spans="1:5" ht="15.6">
      <c r="A99" s="34"/>
      <c r="B99" s="34"/>
      <c r="C99" s="34"/>
      <c r="D99" s="34"/>
      <c r="E99" s="34"/>
    </row>
    <row r="100" spans="1:5" ht="15.6">
      <c r="A100" s="34"/>
      <c r="B100" s="34"/>
      <c r="C100" s="34"/>
      <c r="D100" s="34"/>
      <c r="E100" s="34"/>
    </row>
    <row r="101" spans="1:5" ht="15.6">
      <c r="A101" s="34"/>
      <c r="B101" s="34"/>
      <c r="C101" s="34"/>
      <c r="D101" s="34"/>
      <c r="E101" s="34"/>
    </row>
    <row r="102" spans="1:5" ht="15.6">
      <c r="A102" s="34"/>
      <c r="B102" s="34"/>
      <c r="C102" s="34"/>
      <c r="D102" s="34"/>
      <c r="E102" s="34"/>
    </row>
    <row r="103" spans="1:5" ht="15.6">
      <c r="A103" s="34"/>
      <c r="B103" s="34"/>
      <c r="C103" s="34"/>
      <c r="D103" s="34"/>
      <c r="E103" s="34"/>
    </row>
    <row r="104" spans="1:5" ht="15.6">
      <c r="A104" s="34"/>
      <c r="B104" s="34"/>
      <c r="C104" s="34"/>
      <c r="D104" s="34"/>
      <c r="E104" s="34"/>
    </row>
    <row r="105" spans="1:5" ht="15.6">
      <c r="A105" s="34"/>
      <c r="B105" s="34"/>
      <c r="C105" s="34"/>
      <c r="D105" s="34"/>
      <c r="E105" s="34"/>
    </row>
    <row r="106" spans="1:5" ht="15.6">
      <c r="A106" s="34"/>
      <c r="B106" s="34"/>
      <c r="D106" s="34"/>
      <c r="E106" s="34"/>
    </row>
    <row r="107" spans="1:5" ht="15.6">
      <c r="A107" s="34"/>
      <c r="B107" s="34"/>
    </row>
  </sheetData>
  <mergeCells count="20">
    <mergeCell ref="A83:B84"/>
    <mergeCell ref="A55:A66"/>
    <mergeCell ref="B55:B66"/>
    <mergeCell ref="B67:B81"/>
    <mergeCell ref="A67:A81"/>
    <mergeCell ref="A48:A54"/>
    <mergeCell ref="B48:B54"/>
    <mergeCell ref="A1:E6"/>
    <mergeCell ref="A7:E7"/>
    <mergeCell ref="A8:E8"/>
    <mergeCell ref="A17:A24"/>
    <mergeCell ref="B17:B24"/>
    <mergeCell ref="A11:A16"/>
    <mergeCell ref="B11:B16"/>
    <mergeCell ref="A25:A32"/>
    <mergeCell ref="B25:B32"/>
    <mergeCell ref="A33:A39"/>
    <mergeCell ref="B33:B39"/>
    <mergeCell ref="A40:A47"/>
    <mergeCell ref="B40:B47"/>
  </mergeCells>
  <printOptions horizontalCentered="1" verticalCentered="1"/>
  <pageMargins left="0.7" right="0.7" top="0.75" bottom="0.75" header="0.3" footer="0.3"/>
  <pageSetup paperSize="9" scale="80" orientation="landscape" horizontalDpi="4294967293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E4C5D-7B7E-4B80-9BE6-0192F89CE66A}">
  <dimension ref="B1:H16"/>
  <sheetViews>
    <sheetView zoomScaleNormal="100" workbookViewId="0">
      <selection activeCell="E23" sqref="E23"/>
    </sheetView>
  </sheetViews>
  <sheetFormatPr defaultRowHeight="14.4"/>
  <cols>
    <col min="3" max="3" width="26" customWidth="1"/>
    <col min="4" max="4" width="15.88671875" customWidth="1"/>
    <col min="5" max="5" width="19.109375" customWidth="1"/>
    <col min="6" max="6" width="23.109375" customWidth="1"/>
    <col min="7" max="7" width="21.5546875" customWidth="1"/>
    <col min="8" max="8" width="17.77734375" customWidth="1"/>
  </cols>
  <sheetData>
    <row r="1" spans="2:8">
      <c r="B1" s="132" t="s">
        <v>495</v>
      </c>
      <c r="C1" s="132"/>
      <c r="D1" s="132"/>
      <c r="E1" s="132"/>
      <c r="F1" s="132"/>
      <c r="G1" s="132"/>
      <c r="H1" s="132"/>
    </row>
    <row r="2" spans="2:8">
      <c r="B2" s="70" t="s">
        <v>445</v>
      </c>
      <c r="C2" s="70" t="s">
        <v>492</v>
      </c>
      <c r="D2" s="69" t="s">
        <v>507</v>
      </c>
      <c r="E2" s="69" t="s">
        <v>506</v>
      </c>
      <c r="F2" s="69" t="s">
        <v>500</v>
      </c>
      <c r="G2" s="69" t="s">
        <v>501</v>
      </c>
      <c r="H2" s="69" t="s">
        <v>502</v>
      </c>
    </row>
    <row r="3" spans="2:8">
      <c r="B3" s="70">
        <v>1</v>
      </c>
      <c r="C3" s="61" t="s">
        <v>493</v>
      </c>
      <c r="D3" s="61"/>
      <c r="E3" s="71">
        <v>35000</v>
      </c>
      <c r="F3" s="61">
        <v>1</v>
      </c>
      <c r="G3" s="72"/>
      <c r="H3" s="71">
        <v>35000</v>
      </c>
    </row>
    <row r="4" spans="2:8">
      <c r="B4" s="70">
        <v>2</v>
      </c>
      <c r="C4" s="61" t="s">
        <v>494</v>
      </c>
      <c r="D4" s="71">
        <v>30500</v>
      </c>
      <c r="E4" s="61"/>
      <c r="F4" s="61">
        <v>2</v>
      </c>
      <c r="G4" s="71">
        <v>61000</v>
      </c>
      <c r="H4" s="61"/>
    </row>
    <row r="5" spans="2:8">
      <c r="B5" s="70">
        <v>3</v>
      </c>
      <c r="C5" s="61" t="s">
        <v>496</v>
      </c>
      <c r="D5" s="61"/>
      <c r="E5" s="71">
        <v>1600</v>
      </c>
      <c r="F5" s="61">
        <v>1</v>
      </c>
      <c r="G5" s="61"/>
      <c r="H5" s="71">
        <v>1600</v>
      </c>
    </row>
    <row r="6" spans="2:8">
      <c r="B6" s="70">
        <v>4</v>
      </c>
      <c r="C6" s="60" t="s">
        <v>453</v>
      </c>
      <c r="D6" s="71">
        <v>14000</v>
      </c>
      <c r="E6" s="71"/>
      <c r="F6" s="61">
        <v>2</v>
      </c>
      <c r="G6" s="61">
        <v>28000</v>
      </c>
      <c r="H6" s="71"/>
    </row>
    <row r="7" spans="2:8">
      <c r="B7" s="70">
        <v>5</v>
      </c>
      <c r="C7" s="60" t="s">
        <v>497</v>
      </c>
      <c r="D7" s="61"/>
      <c r="E7" s="71">
        <v>3200</v>
      </c>
      <c r="F7" s="61">
        <v>1</v>
      </c>
      <c r="G7" s="61"/>
      <c r="H7" s="71">
        <v>3200</v>
      </c>
    </row>
    <row r="8" spans="2:8">
      <c r="B8" s="70">
        <v>6</v>
      </c>
      <c r="C8" s="60" t="s">
        <v>452</v>
      </c>
      <c r="D8" s="61"/>
      <c r="E8" s="71">
        <v>16000</v>
      </c>
      <c r="F8" s="61">
        <v>1</v>
      </c>
      <c r="G8" s="61"/>
      <c r="H8" s="73">
        <v>16000</v>
      </c>
    </row>
    <row r="9" spans="2:8">
      <c r="B9" s="70">
        <v>7</v>
      </c>
      <c r="C9" s="60" t="s">
        <v>498</v>
      </c>
      <c r="D9" s="71">
        <v>49300</v>
      </c>
      <c r="E9" s="61"/>
      <c r="F9" s="60" t="s">
        <v>504</v>
      </c>
      <c r="G9" s="71">
        <v>49300</v>
      </c>
      <c r="H9" s="61"/>
    </row>
    <row r="10" spans="2:8">
      <c r="B10" s="70">
        <v>8</v>
      </c>
      <c r="C10" s="60" t="s">
        <v>499</v>
      </c>
      <c r="D10" s="61"/>
      <c r="E10" s="71">
        <v>14000</v>
      </c>
      <c r="F10" s="61">
        <v>1</v>
      </c>
      <c r="G10" s="61"/>
      <c r="H10" s="71">
        <v>14000</v>
      </c>
    </row>
    <row r="11" spans="2:8">
      <c r="B11" s="70">
        <v>9</v>
      </c>
      <c r="C11" s="60" t="s">
        <v>449</v>
      </c>
      <c r="D11" s="71">
        <v>3000</v>
      </c>
      <c r="E11" s="61"/>
      <c r="F11" s="61">
        <v>1</v>
      </c>
      <c r="G11" s="73">
        <v>3000</v>
      </c>
      <c r="H11" s="61"/>
    </row>
    <row r="12" spans="2:8">
      <c r="B12" s="70">
        <v>10</v>
      </c>
      <c r="C12" s="60" t="s">
        <v>451</v>
      </c>
      <c r="D12" s="61"/>
      <c r="E12" s="71">
        <v>28000</v>
      </c>
      <c r="F12" s="61">
        <v>1</v>
      </c>
      <c r="G12" s="61"/>
      <c r="H12" s="71">
        <v>28000</v>
      </c>
    </row>
    <row r="13" spans="2:8">
      <c r="B13" s="70">
        <v>11</v>
      </c>
      <c r="C13" s="60" t="s">
        <v>450</v>
      </c>
      <c r="D13" s="61"/>
      <c r="E13" s="71">
        <v>49000</v>
      </c>
      <c r="F13" s="61">
        <v>1</v>
      </c>
      <c r="G13" s="61"/>
      <c r="H13" s="71">
        <v>49000</v>
      </c>
    </row>
    <row r="14" spans="2:8">
      <c r="B14" s="74"/>
      <c r="C14" s="75" t="s">
        <v>13</v>
      </c>
      <c r="D14" s="76">
        <f>SUM(D4+D9+D6+D11)</f>
        <v>96800</v>
      </c>
      <c r="E14" s="76">
        <f>SUM(E3+E5+E7+E8+E10+E12+E13)</f>
        <v>146800</v>
      </c>
      <c r="F14" s="74"/>
      <c r="G14" s="76">
        <f>SUM(G4+G9+G6+G11)</f>
        <v>141300</v>
      </c>
      <c r="H14" s="76">
        <f>SUM(H3+H5+H7+H8+H10+H12+H13)</f>
        <v>146800</v>
      </c>
    </row>
    <row r="15" spans="2:8">
      <c r="B15" s="130" t="s">
        <v>508</v>
      </c>
      <c r="C15" s="131"/>
      <c r="D15" s="128">
        <f>SUM(E14-D14)</f>
        <v>50000</v>
      </c>
      <c r="E15" s="129"/>
      <c r="F15" s="77" t="s">
        <v>503</v>
      </c>
      <c r="G15" s="126">
        <f>SUM(H14-G14)</f>
        <v>5500</v>
      </c>
      <c r="H15" s="127"/>
    </row>
    <row r="16" spans="2:8">
      <c r="F16" s="78" t="s">
        <v>505</v>
      </c>
      <c r="G16" s="133" t="s">
        <v>509</v>
      </c>
      <c r="H16" s="133"/>
    </row>
  </sheetData>
  <mergeCells count="5">
    <mergeCell ref="G15:H15"/>
    <mergeCell ref="D15:E15"/>
    <mergeCell ref="B15:C15"/>
    <mergeCell ref="B1:H1"/>
    <mergeCell ref="G16:H16"/>
  </mergeCells>
  <pageMargins left="0.7" right="0.7" top="0.75" bottom="0.75" header="0.3" footer="0.3"/>
  <pageSetup orientation="portrait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F01F3-446F-4FA7-82D6-F485D9537C01}">
  <dimension ref="A1:E133"/>
  <sheetViews>
    <sheetView topLeftCell="B105" zoomScale="73" zoomScaleNormal="91" workbookViewId="0">
      <selection activeCell="C45" sqref="C45:C48"/>
    </sheetView>
  </sheetViews>
  <sheetFormatPr defaultRowHeight="14.4"/>
  <cols>
    <col min="2" max="2" width="11.33203125" bestFit="1" customWidth="1"/>
    <col min="3" max="3" width="57.77734375" customWidth="1"/>
    <col min="4" max="4" width="26" customWidth="1"/>
    <col min="5" max="5" width="39.21875" customWidth="1"/>
  </cols>
  <sheetData>
    <row r="1" spans="1:5">
      <c r="A1" s="109"/>
      <c r="B1" s="110"/>
      <c r="C1" s="110"/>
      <c r="D1" s="110"/>
      <c r="E1" s="110"/>
    </row>
    <row r="2" spans="1:5">
      <c r="A2" s="110"/>
      <c r="B2" s="110"/>
      <c r="C2" s="110"/>
      <c r="D2" s="110"/>
      <c r="E2" s="110"/>
    </row>
    <row r="3" spans="1:5">
      <c r="A3" s="110"/>
      <c r="B3" s="110"/>
      <c r="C3" s="110"/>
      <c r="D3" s="110"/>
      <c r="E3" s="110"/>
    </row>
    <row r="4" spans="1:5">
      <c r="A4" s="110"/>
      <c r="B4" s="110"/>
      <c r="C4" s="110"/>
      <c r="D4" s="110"/>
      <c r="E4" s="110"/>
    </row>
    <row r="5" spans="1:5">
      <c r="A5" s="110"/>
      <c r="B5" s="110"/>
      <c r="C5" s="110"/>
      <c r="D5" s="110"/>
      <c r="E5" s="110"/>
    </row>
    <row r="6" spans="1:5">
      <c r="A6" s="110"/>
      <c r="B6" s="110"/>
      <c r="C6" s="110"/>
      <c r="D6" s="110"/>
      <c r="E6" s="110"/>
    </row>
    <row r="7" spans="1:5" ht="15.6">
      <c r="A7" s="111" t="s">
        <v>0</v>
      </c>
      <c r="B7" s="111"/>
      <c r="C7" s="111"/>
      <c r="D7" s="111"/>
      <c r="E7" s="111"/>
    </row>
    <row r="8" spans="1:5" ht="15.6">
      <c r="A8" s="112" t="s">
        <v>479</v>
      </c>
      <c r="B8" s="112"/>
      <c r="C8" s="112"/>
      <c r="D8" s="112"/>
      <c r="E8" s="112"/>
    </row>
    <row r="9" spans="1:5" ht="15.6">
      <c r="A9" s="36" t="s">
        <v>1</v>
      </c>
      <c r="B9" s="37" t="s">
        <v>2</v>
      </c>
      <c r="C9" s="36" t="s">
        <v>3</v>
      </c>
      <c r="D9" s="40" t="s">
        <v>4</v>
      </c>
      <c r="E9" s="40" t="s">
        <v>5</v>
      </c>
    </row>
    <row r="10" spans="1:5" ht="15.6">
      <c r="A10" s="36">
        <v>1</v>
      </c>
      <c r="B10" s="65">
        <v>46023</v>
      </c>
      <c r="C10" s="57" t="s">
        <v>444</v>
      </c>
      <c r="D10" s="46">
        <v>3500000</v>
      </c>
      <c r="E10" s="40"/>
    </row>
    <row r="11" spans="1:5" ht="15.6">
      <c r="A11" s="103">
        <v>2</v>
      </c>
      <c r="B11" s="106">
        <v>46027</v>
      </c>
      <c r="C11" s="41" t="s">
        <v>8</v>
      </c>
      <c r="D11" s="46">
        <v>259000</v>
      </c>
      <c r="E11" s="40"/>
    </row>
    <row r="12" spans="1:5" ht="15.6">
      <c r="A12" s="104"/>
      <c r="B12" s="107"/>
      <c r="C12" s="47" t="s">
        <v>324</v>
      </c>
      <c r="D12" s="46"/>
      <c r="E12" s="40"/>
    </row>
    <row r="13" spans="1:5" ht="15.6">
      <c r="A13" s="104"/>
      <c r="B13" s="107"/>
      <c r="C13" s="55" t="s">
        <v>487</v>
      </c>
      <c r="D13" s="46"/>
      <c r="E13" s="40"/>
    </row>
    <row r="14" spans="1:5" ht="15.6">
      <c r="A14" s="104"/>
      <c r="B14" s="107"/>
      <c r="C14" s="47" t="s">
        <v>296</v>
      </c>
      <c r="D14" s="46"/>
      <c r="E14" s="40"/>
    </row>
    <row r="15" spans="1:5" ht="15.6">
      <c r="A15" s="104"/>
      <c r="B15" s="107"/>
      <c r="C15" s="47" t="s">
        <v>525</v>
      </c>
      <c r="D15" s="46"/>
      <c r="E15" s="40"/>
    </row>
    <row r="16" spans="1:5" ht="15.6">
      <c r="A16" s="104"/>
      <c r="B16" s="107"/>
      <c r="C16" s="42" t="s">
        <v>482</v>
      </c>
      <c r="D16" s="46"/>
      <c r="E16" s="40"/>
    </row>
    <row r="17" spans="1:5" ht="15.6">
      <c r="A17" s="105"/>
      <c r="B17" s="108"/>
      <c r="C17" s="47" t="s">
        <v>483</v>
      </c>
      <c r="D17" s="46"/>
      <c r="E17" s="40"/>
    </row>
    <row r="18" spans="1:5" ht="15.6">
      <c r="A18" s="103">
        <v>3</v>
      </c>
      <c r="B18" s="106">
        <v>46029</v>
      </c>
      <c r="C18" s="41" t="s">
        <v>8</v>
      </c>
      <c r="D18" s="46">
        <v>73000</v>
      </c>
      <c r="E18" s="40"/>
    </row>
    <row r="19" spans="1:5" ht="15.6">
      <c r="A19" s="104"/>
      <c r="B19" s="107"/>
      <c r="C19" s="47" t="s">
        <v>243</v>
      </c>
      <c r="D19" s="44"/>
      <c r="E19" s="44"/>
    </row>
    <row r="20" spans="1:5" ht="15.6">
      <c r="A20" s="104"/>
      <c r="B20" s="107"/>
      <c r="C20" s="47" t="s">
        <v>481</v>
      </c>
      <c r="D20" s="44"/>
      <c r="E20" s="44"/>
    </row>
    <row r="21" spans="1:5" ht="15.6">
      <c r="A21" s="105"/>
      <c r="B21" s="108"/>
      <c r="C21" s="42" t="s">
        <v>482</v>
      </c>
      <c r="D21" s="47"/>
      <c r="E21" s="44"/>
    </row>
    <row r="22" spans="1:5" ht="15.6">
      <c r="A22" s="124">
        <v>4</v>
      </c>
      <c r="B22" s="106">
        <v>46030</v>
      </c>
      <c r="C22" s="41" t="s">
        <v>8</v>
      </c>
      <c r="D22" s="46">
        <v>614000</v>
      </c>
      <c r="E22" s="44"/>
    </row>
    <row r="23" spans="1:5" ht="15.6">
      <c r="A23" s="124"/>
      <c r="B23" s="107"/>
      <c r="C23" s="47" t="s">
        <v>484</v>
      </c>
      <c r="D23" s="47"/>
      <c r="E23" s="44"/>
    </row>
    <row r="24" spans="1:5" ht="15.6">
      <c r="A24" s="124"/>
      <c r="B24" s="107"/>
      <c r="C24" s="47" t="s">
        <v>221</v>
      </c>
      <c r="D24" s="47"/>
      <c r="E24" s="44"/>
    </row>
    <row r="25" spans="1:5" ht="15.6">
      <c r="A25" s="124"/>
      <c r="B25" s="107"/>
      <c r="C25" s="47" t="s">
        <v>485</v>
      </c>
      <c r="D25" s="47"/>
      <c r="E25" s="44"/>
    </row>
    <row r="26" spans="1:5" ht="15.6">
      <c r="A26" s="124"/>
      <c r="B26" s="107"/>
      <c r="C26" s="47" t="s">
        <v>300</v>
      </c>
      <c r="D26" s="9"/>
      <c r="E26" s="9"/>
    </row>
    <row r="27" spans="1:5" ht="15.6">
      <c r="A27" s="124"/>
      <c r="B27" s="107"/>
      <c r="C27" s="42" t="s">
        <v>219</v>
      </c>
      <c r="D27" s="9"/>
      <c r="E27" s="9"/>
    </row>
    <row r="28" spans="1:5" ht="15.6">
      <c r="A28" s="124"/>
      <c r="B28" s="107"/>
      <c r="C28" s="47" t="s">
        <v>53</v>
      </c>
      <c r="D28" s="9"/>
      <c r="E28" s="9"/>
    </row>
    <row r="29" spans="1:5" ht="15.6">
      <c r="A29" s="124"/>
      <c r="B29" s="108"/>
      <c r="C29" s="55" t="s">
        <v>486</v>
      </c>
      <c r="D29" s="9"/>
      <c r="E29" s="9"/>
    </row>
    <row r="30" spans="1:5" ht="15.6">
      <c r="A30" s="103">
        <v>5</v>
      </c>
      <c r="B30" s="134">
        <v>46031</v>
      </c>
      <c r="C30" s="41" t="s">
        <v>8</v>
      </c>
      <c r="D30" s="46">
        <v>326000</v>
      </c>
      <c r="E30" s="9"/>
    </row>
    <row r="31" spans="1:5" ht="15.6">
      <c r="A31" s="104"/>
      <c r="B31" s="135"/>
      <c r="C31" s="47" t="s">
        <v>488</v>
      </c>
      <c r="D31" s="9"/>
      <c r="E31" s="9"/>
    </row>
    <row r="32" spans="1:5" ht="15.6">
      <c r="A32" s="104"/>
      <c r="B32" s="135"/>
      <c r="C32" s="47" t="s">
        <v>324</v>
      </c>
      <c r="D32" s="9"/>
      <c r="E32" s="9"/>
    </row>
    <row r="33" spans="1:5" ht="15.6">
      <c r="A33" s="104"/>
      <c r="B33" s="135"/>
      <c r="C33" s="42" t="s">
        <v>209</v>
      </c>
      <c r="D33" s="9"/>
      <c r="E33" s="9"/>
    </row>
    <row r="34" spans="1:5" ht="15.6">
      <c r="A34" s="104"/>
      <c r="B34" s="135"/>
      <c r="C34" s="55" t="s">
        <v>487</v>
      </c>
      <c r="D34" s="9"/>
      <c r="E34" s="9"/>
    </row>
    <row r="35" spans="1:5" ht="15.6">
      <c r="A35" s="104"/>
      <c r="B35" s="135"/>
      <c r="C35" s="47" t="s">
        <v>53</v>
      </c>
      <c r="D35" s="9"/>
      <c r="E35" s="9"/>
    </row>
    <row r="36" spans="1:5" ht="15.6">
      <c r="A36" s="104"/>
      <c r="B36" s="135"/>
      <c r="C36" s="47" t="s">
        <v>465</v>
      </c>
      <c r="D36" s="9"/>
      <c r="E36" s="9"/>
    </row>
    <row r="37" spans="1:5" ht="15.6">
      <c r="A37" s="105"/>
      <c r="B37" s="136"/>
      <c r="C37" s="55" t="s">
        <v>356</v>
      </c>
      <c r="D37" s="9"/>
      <c r="E37" s="9"/>
    </row>
    <row r="38" spans="1:5" ht="15.6">
      <c r="A38" s="103">
        <v>6</v>
      </c>
      <c r="B38" s="134">
        <v>46032</v>
      </c>
      <c r="C38" s="41" t="s">
        <v>8</v>
      </c>
      <c r="D38" s="46">
        <v>742000</v>
      </c>
      <c r="E38" s="9"/>
    </row>
    <row r="39" spans="1:5" ht="15.6">
      <c r="A39" s="104"/>
      <c r="B39" s="135"/>
      <c r="C39" s="47" t="s">
        <v>181</v>
      </c>
      <c r="D39" s="9"/>
      <c r="E39" s="9"/>
    </row>
    <row r="40" spans="1:5" ht="15.6">
      <c r="A40" s="104"/>
      <c r="B40" s="135"/>
      <c r="C40" s="47" t="s">
        <v>227</v>
      </c>
      <c r="D40" s="9"/>
      <c r="E40" s="9"/>
    </row>
    <row r="41" spans="1:5" ht="15.6">
      <c r="A41" s="104"/>
      <c r="B41" s="135"/>
      <c r="C41" s="42" t="s">
        <v>431</v>
      </c>
      <c r="D41" s="9"/>
      <c r="E41" s="9"/>
    </row>
    <row r="42" spans="1:5" ht="15.6">
      <c r="A42" s="104"/>
      <c r="B42" s="135"/>
      <c r="C42" s="55" t="s">
        <v>489</v>
      </c>
      <c r="D42" s="9"/>
      <c r="E42" s="9"/>
    </row>
    <row r="43" spans="1:5" ht="15.6">
      <c r="A43" s="104"/>
      <c r="B43" s="135"/>
      <c r="C43" s="47" t="s">
        <v>53</v>
      </c>
      <c r="D43" s="9"/>
      <c r="E43" s="9"/>
    </row>
    <row r="44" spans="1:5" ht="15.6">
      <c r="A44" s="105"/>
      <c r="B44" s="136"/>
      <c r="C44" s="55" t="s">
        <v>490</v>
      </c>
      <c r="D44" s="9"/>
      <c r="E44" s="9"/>
    </row>
    <row r="45" spans="1:5" ht="15.6">
      <c r="A45" s="103">
        <v>7</v>
      </c>
      <c r="B45" s="106">
        <v>46037</v>
      </c>
      <c r="C45" s="41" t="s">
        <v>106</v>
      </c>
      <c r="D45" s="46"/>
      <c r="E45" s="40">
        <v>3202800</v>
      </c>
    </row>
    <row r="46" spans="1:5" ht="15.6">
      <c r="A46" s="104"/>
      <c r="B46" s="107"/>
      <c r="C46" s="42" t="s">
        <v>491</v>
      </c>
      <c r="D46" s="44"/>
      <c r="E46" s="44"/>
    </row>
    <row r="47" spans="1:5" ht="15.6">
      <c r="A47" s="104"/>
      <c r="B47" s="107"/>
      <c r="C47" s="42" t="s">
        <v>384</v>
      </c>
      <c r="D47" s="44"/>
      <c r="E47" s="44"/>
    </row>
    <row r="48" spans="1:5" ht="15.6">
      <c r="A48" s="104"/>
      <c r="B48" s="107"/>
      <c r="C48" s="47" t="s">
        <v>184</v>
      </c>
      <c r="D48" s="47"/>
      <c r="E48" s="44"/>
    </row>
    <row r="49" spans="1:5" ht="15.6">
      <c r="A49" s="104"/>
      <c r="B49" s="107"/>
      <c r="C49" s="41" t="s">
        <v>8</v>
      </c>
      <c r="D49" s="46">
        <v>165000</v>
      </c>
      <c r="E49" s="40"/>
    </row>
    <row r="50" spans="1:5" ht="15.6">
      <c r="A50" s="105"/>
      <c r="B50" s="108"/>
      <c r="C50" s="47" t="s">
        <v>390</v>
      </c>
      <c r="D50" s="44"/>
      <c r="E50" s="44"/>
    </row>
    <row r="51" spans="1:5" ht="15.6">
      <c r="A51" s="137">
        <v>8</v>
      </c>
      <c r="B51" s="106">
        <v>46042</v>
      </c>
      <c r="C51" s="41" t="s">
        <v>8</v>
      </c>
      <c r="D51" s="46">
        <v>1348000</v>
      </c>
      <c r="E51" s="9"/>
    </row>
    <row r="52" spans="1:5" ht="15.6">
      <c r="A52" s="112"/>
      <c r="B52" s="107"/>
      <c r="C52" s="47" t="s">
        <v>221</v>
      </c>
      <c r="D52" s="9"/>
      <c r="E52" s="9"/>
    </row>
    <row r="53" spans="1:5" ht="15.6">
      <c r="A53" s="112"/>
      <c r="B53" s="107"/>
      <c r="C53" s="47" t="s">
        <v>484</v>
      </c>
      <c r="D53" s="9"/>
      <c r="E53" s="9"/>
    </row>
    <row r="54" spans="1:5" ht="15.6">
      <c r="A54" s="112"/>
      <c r="B54" s="107"/>
      <c r="C54" s="55" t="s">
        <v>356</v>
      </c>
      <c r="D54" s="9"/>
      <c r="E54" s="9"/>
    </row>
    <row r="55" spans="1:5" ht="15.6">
      <c r="A55" s="112"/>
      <c r="B55" s="107"/>
      <c r="C55" s="47" t="s">
        <v>75</v>
      </c>
      <c r="D55" s="9"/>
      <c r="E55" s="9"/>
    </row>
    <row r="56" spans="1:5" ht="15.6">
      <c r="A56" s="112"/>
      <c r="B56" s="107"/>
      <c r="C56" s="47" t="s">
        <v>95</v>
      </c>
      <c r="D56" s="9"/>
      <c r="E56" s="9"/>
    </row>
    <row r="57" spans="1:5" ht="15.6">
      <c r="A57" s="112"/>
      <c r="B57" s="107"/>
      <c r="C57" s="42" t="s">
        <v>251</v>
      </c>
      <c r="D57" s="9"/>
      <c r="E57" s="9"/>
    </row>
    <row r="58" spans="1:5" ht="15.6">
      <c r="A58" s="112"/>
      <c r="B58" s="107"/>
      <c r="C58" s="55" t="s">
        <v>218</v>
      </c>
      <c r="D58" s="46"/>
      <c r="E58" s="40"/>
    </row>
    <row r="59" spans="1:5" ht="15.6">
      <c r="A59" s="112"/>
      <c r="B59" s="107"/>
      <c r="C59" s="47" t="s">
        <v>512</v>
      </c>
      <c r="D59" s="44"/>
      <c r="E59" s="44"/>
    </row>
    <row r="60" spans="1:5" ht="15.6">
      <c r="A60" s="112"/>
      <c r="B60" s="107"/>
      <c r="C60" s="47" t="s">
        <v>510</v>
      </c>
      <c r="D60" s="44"/>
      <c r="E60" s="44"/>
    </row>
    <row r="61" spans="1:5" ht="15.6">
      <c r="A61" s="112"/>
      <c r="B61" s="107"/>
      <c r="C61" s="47" t="s">
        <v>511</v>
      </c>
      <c r="D61" s="47"/>
      <c r="E61" s="44"/>
    </row>
    <row r="62" spans="1:5" ht="15.6">
      <c r="A62" s="138"/>
      <c r="B62" s="108"/>
      <c r="C62" s="47" t="s">
        <v>12</v>
      </c>
      <c r="D62" s="46"/>
      <c r="E62" s="40"/>
    </row>
    <row r="63" spans="1:5" ht="15.6">
      <c r="A63" s="115">
        <v>8</v>
      </c>
      <c r="B63" s="106">
        <v>46043</v>
      </c>
      <c r="C63" s="41" t="s">
        <v>8</v>
      </c>
      <c r="D63" s="46">
        <v>1133000</v>
      </c>
      <c r="E63" s="40"/>
    </row>
    <row r="64" spans="1:5" ht="15.6">
      <c r="A64" s="139"/>
      <c r="B64" s="107"/>
      <c r="C64" s="47" t="s">
        <v>221</v>
      </c>
      <c r="D64" s="9"/>
      <c r="E64" s="40"/>
    </row>
    <row r="65" spans="1:5" ht="15.6">
      <c r="A65" s="139"/>
      <c r="B65" s="107"/>
      <c r="C65" s="47" t="s">
        <v>484</v>
      </c>
      <c r="D65" s="9"/>
      <c r="E65" s="40"/>
    </row>
    <row r="66" spans="1:5" ht="15.6">
      <c r="A66" s="139"/>
      <c r="B66" s="107"/>
      <c r="C66" s="47" t="s">
        <v>75</v>
      </c>
      <c r="D66" s="9"/>
      <c r="E66" s="40"/>
    </row>
    <row r="67" spans="1:5" ht="15.6">
      <c r="A67" s="139"/>
      <c r="B67" s="107"/>
      <c r="C67" s="47" t="s">
        <v>95</v>
      </c>
      <c r="D67" s="9"/>
      <c r="E67" s="40"/>
    </row>
    <row r="68" spans="1:5" ht="15.6">
      <c r="A68" s="139"/>
      <c r="B68" s="107"/>
      <c r="C68" s="42" t="s">
        <v>251</v>
      </c>
      <c r="D68" s="9"/>
      <c r="E68" s="40"/>
    </row>
    <row r="69" spans="1:5" ht="15.6">
      <c r="A69" s="139"/>
      <c r="B69" s="107"/>
      <c r="C69" s="55" t="s">
        <v>267</v>
      </c>
      <c r="D69" s="46"/>
      <c r="E69" s="40"/>
    </row>
    <row r="70" spans="1:5" ht="15.6">
      <c r="A70" s="139"/>
      <c r="B70" s="107"/>
      <c r="C70" s="47" t="s">
        <v>512</v>
      </c>
      <c r="D70" s="44"/>
      <c r="E70" s="40"/>
    </row>
    <row r="71" spans="1:5" ht="15.6">
      <c r="A71" s="139"/>
      <c r="B71" s="107"/>
      <c r="C71" s="47" t="s">
        <v>513</v>
      </c>
      <c r="D71" s="44"/>
      <c r="E71" s="40"/>
    </row>
    <row r="72" spans="1:5" ht="15.6">
      <c r="A72" s="139"/>
      <c r="B72" s="107"/>
      <c r="C72" s="47" t="s">
        <v>320</v>
      </c>
      <c r="D72" s="47"/>
      <c r="E72" s="40"/>
    </row>
    <row r="73" spans="1:5" ht="15.6">
      <c r="A73" s="117"/>
      <c r="B73" s="108"/>
      <c r="C73" s="47" t="s">
        <v>12</v>
      </c>
      <c r="D73" s="46"/>
      <c r="E73" s="40"/>
    </row>
    <row r="74" spans="1:5" ht="15.6">
      <c r="A74" s="115">
        <v>9</v>
      </c>
      <c r="B74" s="106">
        <v>46044</v>
      </c>
      <c r="C74" s="41" t="s">
        <v>8</v>
      </c>
      <c r="D74" s="46">
        <v>597000</v>
      </c>
      <c r="E74" s="40"/>
    </row>
    <row r="75" spans="1:5" ht="15.6">
      <c r="A75" s="139"/>
      <c r="B75" s="107"/>
      <c r="C75" s="42" t="s">
        <v>251</v>
      </c>
      <c r="D75" s="9"/>
      <c r="E75" s="40"/>
    </row>
    <row r="76" spans="1:5" ht="15.6">
      <c r="A76" s="139"/>
      <c r="B76" s="107"/>
      <c r="C76" s="47" t="s">
        <v>320</v>
      </c>
      <c r="D76" s="9"/>
      <c r="E76" s="40"/>
    </row>
    <row r="77" spans="1:5" ht="15.6">
      <c r="A77" s="139"/>
      <c r="B77" s="107"/>
      <c r="C77" s="47" t="s">
        <v>484</v>
      </c>
      <c r="D77" s="9"/>
      <c r="E77" s="40"/>
    </row>
    <row r="78" spans="1:5" ht="15.6">
      <c r="A78" s="139"/>
      <c r="B78" s="107"/>
      <c r="C78" s="47" t="s">
        <v>75</v>
      </c>
      <c r="D78" s="9"/>
      <c r="E78" s="40"/>
    </row>
    <row r="79" spans="1:5" ht="15.6">
      <c r="A79" s="139"/>
      <c r="B79" s="107"/>
      <c r="C79" s="47" t="s">
        <v>514</v>
      </c>
      <c r="D79" s="9"/>
      <c r="E79" s="40"/>
    </row>
    <row r="80" spans="1:5" ht="15.6">
      <c r="A80" s="139"/>
      <c r="B80" s="107"/>
      <c r="C80" s="47" t="s">
        <v>296</v>
      </c>
      <c r="D80" s="46"/>
      <c r="E80" s="40"/>
    </row>
    <row r="81" spans="1:5" ht="15.6">
      <c r="A81" s="139"/>
      <c r="B81" s="107"/>
      <c r="C81" s="55" t="s">
        <v>338</v>
      </c>
      <c r="D81" s="44"/>
      <c r="E81" s="40"/>
    </row>
    <row r="82" spans="1:5" ht="15.6">
      <c r="A82" s="139"/>
      <c r="B82" s="107"/>
      <c r="C82" s="47" t="s">
        <v>258</v>
      </c>
      <c r="D82" s="44"/>
      <c r="E82" s="40"/>
    </row>
    <row r="83" spans="1:5" ht="15.6">
      <c r="A83" s="117"/>
      <c r="B83" s="108"/>
      <c r="C83" s="47" t="s">
        <v>213</v>
      </c>
      <c r="D83" s="47"/>
      <c r="E83" s="40"/>
    </row>
    <row r="84" spans="1:5" ht="15.6">
      <c r="A84" s="115">
        <v>10</v>
      </c>
      <c r="B84" s="106">
        <v>46045</v>
      </c>
      <c r="C84" s="41" t="s">
        <v>8</v>
      </c>
      <c r="D84" s="46">
        <v>770000</v>
      </c>
      <c r="E84" s="40"/>
    </row>
    <row r="85" spans="1:5" ht="15.6">
      <c r="A85" s="139"/>
      <c r="B85" s="107"/>
      <c r="C85" s="47" t="s">
        <v>213</v>
      </c>
      <c r="D85" s="9"/>
      <c r="E85" s="40"/>
    </row>
    <row r="86" spans="1:5" ht="15.6">
      <c r="A86" s="139"/>
      <c r="B86" s="107"/>
      <c r="C86" s="55" t="s">
        <v>218</v>
      </c>
      <c r="D86" s="9"/>
      <c r="E86" s="40"/>
    </row>
    <row r="87" spans="1:5" ht="15.6">
      <c r="A87" s="139"/>
      <c r="B87" s="107"/>
      <c r="C87" s="47" t="s">
        <v>515</v>
      </c>
      <c r="D87" s="9"/>
      <c r="E87" s="40"/>
    </row>
    <row r="88" spans="1:5" ht="15.6">
      <c r="A88" s="139"/>
      <c r="B88" s="107"/>
      <c r="C88" s="47" t="s">
        <v>300</v>
      </c>
      <c r="D88" s="9"/>
      <c r="E88" s="40"/>
    </row>
    <row r="89" spans="1:5" ht="15.6">
      <c r="A89" s="139"/>
      <c r="B89" s="107"/>
      <c r="C89" s="42" t="s">
        <v>251</v>
      </c>
      <c r="D89" s="9"/>
      <c r="E89" s="40"/>
    </row>
    <row r="90" spans="1:5" ht="15.6">
      <c r="A90" s="117"/>
      <c r="B90" s="108"/>
      <c r="C90" s="47" t="s">
        <v>516</v>
      </c>
      <c r="D90" s="44"/>
      <c r="E90" s="40"/>
    </row>
    <row r="91" spans="1:5" ht="15.6">
      <c r="A91" s="103">
        <v>11</v>
      </c>
      <c r="B91" s="106">
        <v>26</v>
      </c>
      <c r="C91" s="41" t="s">
        <v>8</v>
      </c>
      <c r="D91" s="44">
        <v>200000</v>
      </c>
      <c r="E91" s="40"/>
    </row>
    <row r="92" spans="1:5" ht="15.6">
      <c r="A92" s="105"/>
      <c r="B92" s="108"/>
      <c r="C92" s="42" t="s">
        <v>517</v>
      </c>
      <c r="D92" s="44"/>
      <c r="E92" s="40"/>
    </row>
    <row r="93" spans="1:5" ht="15.6">
      <c r="A93" s="115">
        <v>12</v>
      </c>
      <c r="B93" s="106">
        <v>46052</v>
      </c>
      <c r="C93" s="41" t="s">
        <v>106</v>
      </c>
      <c r="D93" s="46"/>
      <c r="E93" s="40">
        <v>5553000</v>
      </c>
    </row>
    <row r="94" spans="1:5" ht="15.6">
      <c r="A94" s="139"/>
      <c r="B94" s="107"/>
      <c r="C94" s="42" t="s">
        <v>523</v>
      </c>
      <c r="D94" s="44"/>
      <c r="E94" s="44"/>
    </row>
    <row r="95" spans="1:5" ht="15.6">
      <c r="A95" s="139"/>
      <c r="B95" s="107"/>
      <c r="C95" s="42" t="s">
        <v>384</v>
      </c>
      <c r="D95" s="44"/>
      <c r="E95" s="44"/>
    </row>
    <row r="96" spans="1:5" ht="15.6">
      <c r="A96" s="139"/>
      <c r="B96" s="107"/>
      <c r="C96" s="47" t="s">
        <v>184</v>
      </c>
      <c r="D96" s="47"/>
      <c r="E96" s="44"/>
    </row>
    <row r="97" spans="1:5" ht="15.6">
      <c r="A97" s="139"/>
      <c r="B97" s="107"/>
      <c r="C97" s="47" t="s">
        <v>183</v>
      </c>
      <c r="D97" s="47"/>
      <c r="E97" s="44"/>
    </row>
    <row r="98" spans="1:5" ht="15.6">
      <c r="A98" s="139"/>
      <c r="B98" s="107"/>
      <c r="C98" s="41" t="s">
        <v>8</v>
      </c>
      <c r="D98" s="46">
        <v>1610000</v>
      </c>
      <c r="E98" s="40"/>
    </row>
    <row r="99" spans="1:5" ht="15.6">
      <c r="A99" s="139"/>
      <c r="B99" s="107"/>
      <c r="C99" s="47" t="s">
        <v>518</v>
      </c>
      <c r="D99" s="9"/>
      <c r="E99" s="40"/>
    </row>
    <row r="100" spans="1:5" ht="15.6">
      <c r="A100" s="139"/>
      <c r="B100" s="107"/>
      <c r="C100" s="47" t="s">
        <v>519</v>
      </c>
      <c r="D100" s="9"/>
      <c r="E100" s="40"/>
    </row>
    <row r="101" spans="1:5" ht="15.6">
      <c r="A101" s="139"/>
      <c r="B101" s="107"/>
      <c r="C101" s="47" t="s">
        <v>246</v>
      </c>
      <c r="D101" s="9"/>
      <c r="E101" s="40"/>
    </row>
    <row r="102" spans="1:5" ht="15.6">
      <c r="A102" s="139"/>
      <c r="B102" s="107"/>
      <c r="C102" s="47" t="s">
        <v>520</v>
      </c>
      <c r="D102" s="9"/>
      <c r="E102" s="40"/>
    </row>
    <row r="103" spans="1:5" ht="15.6">
      <c r="A103" s="139"/>
      <c r="B103" s="107"/>
      <c r="C103" s="47" t="s">
        <v>234</v>
      </c>
      <c r="D103" s="9"/>
      <c r="E103" s="40"/>
    </row>
    <row r="104" spans="1:5" ht="15.6">
      <c r="A104" s="139"/>
      <c r="B104" s="107"/>
      <c r="C104" s="47" t="s">
        <v>12</v>
      </c>
      <c r="D104" s="9"/>
      <c r="E104" s="40"/>
    </row>
    <row r="105" spans="1:5" ht="15.6">
      <c r="A105" s="139"/>
      <c r="B105" s="107"/>
      <c r="C105" s="47" t="s">
        <v>57</v>
      </c>
      <c r="D105" s="9"/>
      <c r="E105" s="40"/>
    </row>
    <row r="106" spans="1:5" ht="15.6">
      <c r="A106" s="139"/>
      <c r="B106" s="107"/>
      <c r="C106" s="47" t="s">
        <v>75</v>
      </c>
      <c r="D106" s="9"/>
      <c r="E106" s="40"/>
    </row>
    <row r="107" spans="1:5" ht="15.6">
      <c r="A107" s="139"/>
      <c r="B107" s="107"/>
      <c r="C107" s="42" t="s">
        <v>251</v>
      </c>
      <c r="D107" s="9"/>
      <c r="E107" s="40"/>
    </row>
    <row r="108" spans="1:5" ht="15.6">
      <c r="A108" s="139"/>
      <c r="B108" s="107"/>
      <c r="C108" s="47" t="s">
        <v>521</v>
      </c>
      <c r="D108" s="9"/>
      <c r="E108" s="40"/>
    </row>
    <row r="109" spans="1:5" ht="15.6">
      <c r="A109" s="117"/>
      <c r="B109" s="108"/>
      <c r="C109" s="55" t="s">
        <v>522</v>
      </c>
      <c r="D109" s="9"/>
      <c r="E109" s="40"/>
    </row>
    <row r="110" spans="1:5" ht="15.6">
      <c r="A110" s="114" t="s">
        <v>13</v>
      </c>
      <c r="B110" s="115"/>
      <c r="C110" s="48" t="s">
        <v>478</v>
      </c>
      <c r="D110" s="46">
        <f>+SUM(D10+D11+D18+D22+D30+D38+D49+D51+D63+D74+D84+D91+D98)</f>
        <v>11337000</v>
      </c>
      <c r="E110" s="44">
        <f>+SUM(E45+E93)</f>
        <v>8755800</v>
      </c>
    </row>
    <row r="111" spans="1:5" ht="15.6">
      <c r="A111" s="116"/>
      <c r="B111" s="117"/>
      <c r="C111" s="47"/>
      <c r="D111" s="44">
        <f>SUM(D110-E110)</f>
        <v>2581200</v>
      </c>
      <c r="E111" s="44"/>
    </row>
    <row r="112" spans="1:5" ht="15.6">
      <c r="A112" s="51"/>
      <c r="B112" s="51"/>
      <c r="C112" s="51"/>
      <c r="D112" s="51"/>
      <c r="E112" s="49"/>
    </row>
    <row r="113" spans="1:5" ht="15.6">
      <c r="A113" s="34"/>
      <c r="B113" s="34"/>
      <c r="C113" s="34"/>
    </row>
    <row r="114" spans="1:5" ht="15.6">
      <c r="A114" s="35"/>
      <c r="B114" s="50"/>
      <c r="C114" s="34"/>
      <c r="D114" s="52"/>
      <c r="E114" s="49"/>
    </row>
    <row r="115" spans="1:5" ht="15.6">
      <c r="A115" s="35"/>
      <c r="B115" s="50"/>
      <c r="C115" s="34"/>
      <c r="D115" s="52"/>
      <c r="E115" s="52"/>
    </row>
    <row r="116" spans="1:5" ht="15.6">
      <c r="A116" s="53"/>
      <c r="B116" s="50"/>
      <c r="C116" s="34"/>
      <c r="D116" s="52"/>
      <c r="E116" s="52"/>
    </row>
    <row r="117" spans="1:5" ht="15.6">
      <c r="A117" s="53"/>
      <c r="B117" s="34"/>
      <c r="C117" s="34"/>
      <c r="D117" s="52"/>
      <c r="E117" s="52"/>
    </row>
    <row r="118" spans="1:5" ht="15.6">
      <c r="A118" s="53"/>
      <c r="B118" s="34"/>
      <c r="C118" s="34"/>
      <c r="D118" s="34"/>
      <c r="E118" s="52"/>
    </row>
    <row r="119" spans="1:5" ht="15.6">
      <c r="A119" s="53"/>
      <c r="B119" s="34"/>
      <c r="C119" s="34"/>
      <c r="D119" s="34"/>
      <c r="E119" s="34"/>
    </row>
    <row r="120" spans="1:5" ht="15.6">
      <c r="A120" s="53"/>
      <c r="B120" s="34"/>
      <c r="C120" s="34"/>
      <c r="D120" s="34"/>
      <c r="E120" s="34"/>
    </row>
    <row r="121" spans="1:5" ht="15.6">
      <c r="A121" s="53"/>
      <c r="B121" s="34"/>
      <c r="C121" s="51"/>
      <c r="D121" s="34"/>
      <c r="E121" s="34"/>
    </row>
    <row r="122" spans="1:5" ht="15.6">
      <c r="A122" s="53"/>
      <c r="B122" s="34"/>
      <c r="C122" s="51"/>
      <c r="D122" s="34"/>
      <c r="E122" s="34"/>
    </row>
    <row r="123" spans="1:5" ht="15.6">
      <c r="A123" s="34"/>
      <c r="B123" s="34"/>
      <c r="C123" s="51"/>
      <c r="D123" s="34"/>
      <c r="E123" s="34"/>
    </row>
    <row r="124" spans="1:5" ht="15.6">
      <c r="A124" s="34"/>
      <c r="B124" s="34"/>
      <c r="C124" s="51"/>
      <c r="D124" s="34"/>
      <c r="E124" s="34"/>
    </row>
    <row r="125" spans="1:5" ht="15.6">
      <c r="A125" s="34"/>
      <c r="B125" s="34"/>
      <c r="C125" s="34"/>
      <c r="D125" s="34"/>
      <c r="E125" s="34"/>
    </row>
    <row r="126" spans="1:5" ht="15.6">
      <c r="A126" s="34"/>
      <c r="B126" s="34"/>
      <c r="C126" s="34"/>
      <c r="D126" s="34"/>
      <c r="E126" s="34"/>
    </row>
    <row r="127" spans="1:5" ht="15.6">
      <c r="A127" s="34"/>
      <c r="B127" s="34"/>
      <c r="C127" s="34"/>
      <c r="D127" s="34"/>
      <c r="E127" s="34"/>
    </row>
    <row r="128" spans="1:5" ht="15.6">
      <c r="A128" s="34"/>
      <c r="B128" s="34"/>
      <c r="C128" s="34"/>
      <c r="D128" s="34"/>
      <c r="E128" s="34"/>
    </row>
    <row r="129" spans="1:5" ht="15.6">
      <c r="A129" s="34"/>
      <c r="B129" s="34"/>
      <c r="C129" s="34"/>
      <c r="D129" s="34"/>
      <c r="E129" s="34"/>
    </row>
    <row r="130" spans="1:5" ht="15.6">
      <c r="A130" s="34"/>
      <c r="B130" s="34"/>
      <c r="C130" s="34"/>
      <c r="D130" s="34"/>
      <c r="E130" s="34"/>
    </row>
    <row r="131" spans="1:5" ht="15.6">
      <c r="A131" s="34"/>
      <c r="B131" s="34"/>
      <c r="C131" s="34"/>
      <c r="D131" s="34"/>
      <c r="E131" s="34"/>
    </row>
    <row r="132" spans="1:5" ht="15.6">
      <c r="A132" s="34"/>
      <c r="B132" s="34"/>
      <c r="C132" s="34"/>
      <c r="D132" s="34"/>
      <c r="E132" s="34"/>
    </row>
    <row r="133" spans="1:5" ht="15.6">
      <c r="A133" s="34"/>
      <c r="B133" s="34"/>
      <c r="D133" s="34"/>
      <c r="E133" s="34"/>
    </row>
  </sheetData>
  <mergeCells count="28">
    <mergeCell ref="A110:B111"/>
    <mergeCell ref="A45:A50"/>
    <mergeCell ref="B45:B50"/>
    <mergeCell ref="A51:A62"/>
    <mergeCell ref="B51:B62"/>
    <mergeCell ref="A63:A73"/>
    <mergeCell ref="B63:B73"/>
    <mergeCell ref="A74:A83"/>
    <mergeCell ref="B74:B83"/>
    <mergeCell ref="A93:A109"/>
    <mergeCell ref="B93:B109"/>
    <mergeCell ref="A84:A90"/>
    <mergeCell ref="B84:B90"/>
    <mergeCell ref="B91:B92"/>
    <mergeCell ref="A91:A92"/>
    <mergeCell ref="A18:A21"/>
    <mergeCell ref="B18:B21"/>
    <mergeCell ref="A1:E6"/>
    <mergeCell ref="A7:E7"/>
    <mergeCell ref="A8:E8"/>
    <mergeCell ref="A11:A17"/>
    <mergeCell ref="B11:B17"/>
    <mergeCell ref="A22:A29"/>
    <mergeCell ref="B22:B29"/>
    <mergeCell ref="A30:A37"/>
    <mergeCell ref="B30:B37"/>
    <mergeCell ref="A38:A44"/>
    <mergeCell ref="B38:B44"/>
  </mergeCells>
  <printOptions horizontalCentered="1" verticalCentered="1"/>
  <pageMargins left="1" right="1" top="1" bottom="1" header="0.5" footer="0.5"/>
  <pageSetup paperSize="9" scale="78" fitToHeight="0" orientation="landscape" horizontalDpi="360" verticalDpi="36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CABC1-D722-4E9F-9B62-08257F20AD28}">
  <dimension ref="A1:E122"/>
  <sheetViews>
    <sheetView tabSelected="1" topLeftCell="A66" zoomScale="94" workbookViewId="0">
      <selection activeCell="B75" sqref="B75:B82"/>
    </sheetView>
  </sheetViews>
  <sheetFormatPr defaultRowHeight="14.4"/>
  <cols>
    <col min="3" max="3" width="65.109375" customWidth="1"/>
    <col min="4" max="4" width="27.6640625" customWidth="1"/>
    <col min="5" max="5" width="21.21875" customWidth="1"/>
  </cols>
  <sheetData>
    <row r="1" spans="1:5">
      <c r="A1" s="109"/>
      <c r="B1" s="110"/>
      <c r="C1" s="110"/>
      <c r="D1" s="110"/>
      <c r="E1" s="110"/>
    </row>
    <row r="2" spans="1:5">
      <c r="A2" s="110"/>
      <c r="B2" s="110"/>
      <c r="C2" s="110"/>
      <c r="D2" s="110"/>
      <c r="E2" s="110"/>
    </row>
    <row r="3" spans="1:5">
      <c r="A3" s="110"/>
      <c r="B3" s="110"/>
      <c r="C3" s="110"/>
      <c r="D3" s="110"/>
      <c r="E3" s="110"/>
    </row>
    <row r="4" spans="1:5">
      <c r="A4" s="110"/>
      <c r="B4" s="110"/>
      <c r="C4" s="110"/>
      <c r="D4" s="110"/>
      <c r="E4" s="110"/>
    </row>
    <row r="5" spans="1:5">
      <c r="A5" s="110"/>
      <c r="B5" s="110"/>
      <c r="C5" s="110"/>
      <c r="D5" s="110"/>
      <c r="E5" s="110"/>
    </row>
    <row r="6" spans="1:5">
      <c r="A6" s="110"/>
      <c r="B6" s="110"/>
      <c r="C6" s="110"/>
      <c r="D6" s="110"/>
      <c r="E6" s="110"/>
    </row>
    <row r="7" spans="1:5" ht="15.6">
      <c r="A7" s="111" t="s">
        <v>0</v>
      </c>
      <c r="B7" s="111"/>
      <c r="C7" s="111"/>
      <c r="D7" s="111"/>
      <c r="E7" s="111"/>
    </row>
    <row r="8" spans="1:5" ht="15.6">
      <c r="A8" s="112" t="s">
        <v>540</v>
      </c>
      <c r="B8" s="112"/>
      <c r="C8" s="112"/>
      <c r="D8" s="112"/>
      <c r="E8" s="112"/>
    </row>
    <row r="9" spans="1:5" ht="15.6">
      <c r="A9" s="36" t="s">
        <v>1</v>
      </c>
      <c r="B9" s="37" t="s">
        <v>2</v>
      </c>
      <c r="C9" s="36" t="s">
        <v>3</v>
      </c>
      <c r="D9" s="40" t="s">
        <v>4</v>
      </c>
      <c r="E9" s="40" t="s">
        <v>5</v>
      </c>
    </row>
    <row r="10" spans="1:5" ht="15.6">
      <c r="A10" s="103">
        <v>1</v>
      </c>
      <c r="B10" s="106">
        <v>46055</v>
      </c>
      <c r="C10" s="41" t="s">
        <v>8</v>
      </c>
      <c r="D10" s="46">
        <v>2024000</v>
      </c>
      <c r="E10" s="40"/>
    </row>
    <row r="11" spans="1:5" ht="15.6">
      <c r="A11" s="104"/>
      <c r="B11" s="107"/>
      <c r="C11" s="47" t="s">
        <v>512</v>
      </c>
      <c r="D11" s="46"/>
      <c r="E11" s="40"/>
    </row>
    <row r="12" spans="1:5" ht="15.6">
      <c r="A12" s="104"/>
      <c r="B12" s="107"/>
      <c r="C12" s="47" t="s">
        <v>399</v>
      </c>
      <c r="D12" s="46"/>
      <c r="E12" s="40"/>
    </row>
    <row r="13" spans="1:5" ht="15.6">
      <c r="A13" s="104"/>
      <c r="B13" s="107"/>
      <c r="C13" s="47" t="s">
        <v>265</v>
      </c>
      <c r="D13" s="46"/>
      <c r="E13" s="40"/>
    </row>
    <row r="14" spans="1:5" ht="15.6">
      <c r="A14" s="104"/>
      <c r="B14" s="107"/>
      <c r="C14" s="47" t="s">
        <v>429</v>
      </c>
      <c r="D14" s="46"/>
      <c r="E14" s="40"/>
    </row>
    <row r="15" spans="1:5" ht="15.6">
      <c r="A15" s="104"/>
      <c r="B15" s="107"/>
      <c r="C15" s="47" t="s">
        <v>16</v>
      </c>
      <c r="D15" s="46"/>
      <c r="E15" s="40"/>
    </row>
    <row r="16" spans="1:5" ht="15.6">
      <c r="A16" s="104"/>
      <c r="B16" s="107"/>
      <c r="C16" s="47" t="s">
        <v>322</v>
      </c>
      <c r="D16" s="46"/>
      <c r="E16" s="40"/>
    </row>
    <row r="17" spans="1:5" ht="15.6">
      <c r="A17" s="104"/>
      <c r="B17" s="107"/>
      <c r="C17" s="42" t="s">
        <v>251</v>
      </c>
      <c r="D17" s="40"/>
      <c r="E17" s="40"/>
    </row>
    <row r="18" spans="1:5" ht="15.6">
      <c r="A18" s="104"/>
      <c r="B18" s="107"/>
      <c r="C18" s="47" t="s">
        <v>521</v>
      </c>
      <c r="D18" s="40"/>
      <c r="E18" s="40"/>
    </row>
    <row r="19" spans="1:5" ht="15.6">
      <c r="A19" s="104"/>
      <c r="B19" s="107"/>
      <c r="C19" s="55" t="s">
        <v>218</v>
      </c>
      <c r="D19" s="40"/>
      <c r="E19" s="40"/>
    </row>
    <row r="20" spans="1:5" ht="15.6">
      <c r="A20" s="104"/>
      <c r="B20" s="107"/>
      <c r="C20" s="79" t="s">
        <v>533</v>
      </c>
      <c r="D20" s="40"/>
      <c r="E20" s="40"/>
    </row>
    <row r="21" spans="1:5" ht="15.6">
      <c r="A21" s="104"/>
      <c r="B21" s="107"/>
      <c r="C21" s="55" t="s">
        <v>526</v>
      </c>
      <c r="D21" s="40"/>
      <c r="E21" s="40"/>
    </row>
    <row r="22" spans="1:5" ht="15.6">
      <c r="A22" s="104"/>
      <c r="B22" s="107"/>
      <c r="C22" s="55" t="s">
        <v>527</v>
      </c>
      <c r="D22" s="40"/>
      <c r="E22" s="40"/>
    </row>
    <row r="23" spans="1:5" ht="15.6">
      <c r="A23" s="104"/>
      <c r="B23" s="107"/>
      <c r="C23" s="47" t="s">
        <v>203</v>
      </c>
      <c r="D23" s="40"/>
      <c r="E23" s="40"/>
    </row>
    <row r="24" spans="1:5" ht="15.6">
      <c r="A24" s="105"/>
      <c r="B24" s="108"/>
      <c r="C24" s="47" t="s">
        <v>528</v>
      </c>
      <c r="D24" s="40"/>
      <c r="E24" s="40"/>
    </row>
    <row r="25" spans="1:5" ht="15.6">
      <c r="A25" s="103">
        <v>2</v>
      </c>
      <c r="B25" s="106">
        <v>46060</v>
      </c>
      <c r="C25" s="41" t="s">
        <v>8</v>
      </c>
      <c r="D25" s="46">
        <v>1115000</v>
      </c>
      <c r="E25" s="40"/>
    </row>
    <row r="26" spans="1:5" ht="15.6">
      <c r="A26" s="104"/>
      <c r="B26" s="107"/>
      <c r="C26" s="47" t="s">
        <v>12</v>
      </c>
      <c r="D26" s="46"/>
      <c r="E26" s="40"/>
    </row>
    <row r="27" spans="1:5" ht="15.6">
      <c r="A27" s="104"/>
      <c r="B27" s="107"/>
      <c r="C27" s="47" t="s">
        <v>529</v>
      </c>
      <c r="D27" s="46"/>
      <c r="E27" s="40"/>
    </row>
    <row r="28" spans="1:5" ht="15.6">
      <c r="A28" s="104"/>
      <c r="B28" s="107"/>
      <c r="C28" s="47" t="s">
        <v>308</v>
      </c>
      <c r="D28" s="46"/>
      <c r="E28" s="40"/>
    </row>
    <row r="29" spans="1:5" ht="15.6">
      <c r="A29" s="104"/>
      <c r="B29" s="107"/>
      <c r="C29" s="47" t="s">
        <v>530</v>
      </c>
      <c r="D29" s="40"/>
      <c r="E29" s="40"/>
    </row>
    <row r="30" spans="1:5" ht="15.6">
      <c r="A30" s="104"/>
      <c r="B30" s="107"/>
      <c r="C30" s="55" t="s">
        <v>208</v>
      </c>
      <c r="D30" s="40"/>
      <c r="E30" s="40"/>
    </row>
    <row r="31" spans="1:5" ht="15.6">
      <c r="A31" s="104"/>
      <c r="B31" s="107"/>
      <c r="C31" s="79" t="s">
        <v>533</v>
      </c>
      <c r="D31" s="40"/>
      <c r="E31" s="40"/>
    </row>
    <row r="32" spans="1:5" ht="15.6">
      <c r="A32" s="104"/>
      <c r="B32" s="107"/>
      <c r="C32" s="55" t="s">
        <v>531</v>
      </c>
      <c r="D32" s="40"/>
      <c r="E32" s="40"/>
    </row>
    <row r="33" spans="1:5" ht="15.6">
      <c r="A33" s="105"/>
      <c r="B33" s="108"/>
      <c r="C33" s="55" t="s">
        <v>532</v>
      </c>
      <c r="D33" s="40"/>
      <c r="E33" s="40"/>
    </row>
    <row r="34" spans="1:5" ht="15.6">
      <c r="A34" s="124">
        <v>3</v>
      </c>
      <c r="B34" s="125">
        <v>46061</v>
      </c>
      <c r="C34" s="41" t="s">
        <v>8</v>
      </c>
      <c r="D34" s="46">
        <v>652000</v>
      </c>
      <c r="E34" s="40"/>
    </row>
    <row r="35" spans="1:5" ht="15.6">
      <c r="A35" s="124"/>
      <c r="B35" s="125"/>
      <c r="C35" s="47" t="s">
        <v>484</v>
      </c>
      <c r="D35" s="40"/>
      <c r="E35" s="40"/>
    </row>
    <row r="36" spans="1:5" ht="15.6">
      <c r="A36" s="124"/>
      <c r="B36" s="125"/>
      <c r="C36" s="55" t="s">
        <v>218</v>
      </c>
      <c r="D36" s="40"/>
      <c r="E36" s="40"/>
    </row>
    <row r="37" spans="1:5" ht="15.6">
      <c r="A37" s="124"/>
      <c r="B37" s="125"/>
      <c r="C37" s="47" t="s">
        <v>381</v>
      </c>
      <c r="D37" s="40"/>
      <c r="E37" s="40"/>
    </row>
    <row r="38" spans="1:5" ht="15.6">
      <c r="A38" s="124"/>
      <c r="B38" s="125"/>
      <c r="C38" s="47" t="s">
        <v>515</v>
      </c>
      <c r="D38" s="40"/>
      <c r="E38" s="40"/>
    </row>
    <row r="39" spans="1:5" ht="15.6">
      <c r="A39" s="124"/>
      <c r="B39" s="125"/>
      <c r="C39" s="47" t="s">
        <v>53</v>
      </c>
      <c r="D39" s="40"/>
      <c r="E39" s="40"/>
    </row>
    <row r="40" spans="1:5" ht="15.6">
      <c r="A40" s="124"/>
      <c r="B40" s="125"/>
      <c r="C40" s="47" t="s">
        <v>39</v>
      </c>
      <c r="D40" s="40"/>
      <c r="E40" s="40"/>
    </row>
    <row r="41" spans="1:5" ht="15.6">
      <c r="A41" s="103">
        <v>4</v>
      </c>
      <c r="B41" s="106">
        <v>46064</v>
      </c>
      <c r="C41" s="41" t="s">
        <v>8</v>
      </c>
      <c r="D41" s="40">
        <v>173000</v>
      </c>
      <c r="E41" s="40"/>
    </row>
    <row r="42" spans="1:5" ht="15.6">
      <c r="A42" s="104"/>
      <c r="B42" s="107"/>
      <c r="C42" s="47" t="s">
        <v>261</v>
      </c>
      <c r="D42" s="40"/>
      <c r="E42" s="40"/>
    </row>
    <row r="43" spans="1:5" ht="15.6">
      <c r="A43" s="105"/>
      <c r="B43" s="108"/>
      <c r="C43" s="83" t="s">
        <v>53</v>
      </c>
      <c r="D43" s="40"/>
      <c r="E43" s="40"/>
    </row>
    <row r="44" spans="1:5" ht="15.6">
      <c r="A44" s="103">
        <v>5</v>
      </c>
      <c r="B44" s="106">
        <v>46065</v>
      </c>
      <c r="C44" s="41" t="s">
        <v>106</v>
      </c>
      <c r="D44" s="40"/>
      <c r="E44" s="40">
        <v>2366000</v>
      </c>
    </row>
    <row r="45" spans="1:5" ht="15.6">
      <c r="A45" s="104"/>
      <c r="B45" s="107"/>
      <c r="C45" s="42" t="s">
        <v>541</v>
      </c>
      <c r="D45" s="40"/>
      <c r="E45" s="40"/>
    </row>
    <row r="46" spans="1:5" ht="15.6">
      <c r="A46" s="104"/>
      <c r="B46" s="107"/>
      <c r="C46" s="42" t="s">
        <v>384</v>
      </c>
      <c r="D46" s="40"/>
      <c r="E46" s="40"/>
    </row>
    <row r="47" spans="1:5" ht="15.6">
      <c r="A47" s="104"/>
      <c r="B47" s="107"/>
      <c r="C47" s="47" t="s">
        <v>184</v>
      </c>
      <c r="D47" s="40"/>
      <c r="E47" s="40"/>
    </row>
    <row r="48" spans="1:5" ht="15.6">
      <c r="A48" s="104"/>
      <c r="B48" s="107"/>
      <c r="C48" s="41" t="s">
        <v>8</v>
      </c>
      <c r="D48" s="40">
        <v>133000</v>
      </c>
      <c r="E48" s="40"/>
    </row>
    <row r="49" spans="1:5" ht="15.6">
      <c r="A49" s="104"/>
      <c r="B49" s="107"/>
      <c r="C49" s="47" t="s">
        <v>296</v>
      </c>
      <c r="D49" s="40"/>
      <c r="E49" s="40"/>
    </row>
    <row r="50" spans="1:5" ht="15.6">
      <c r="A50" s="104"/>
      <c r="B50" s="107"/>
      <c r="C50" s="47" t="s">
        <v>534</v>
      </c>
      <c r="D50" s="40"/>
      <c r="E50" s="40"/>
    </row>
    <row r="51" spans="1:5" ht="15.6">
      <c r="A51" s="104"/>
      <c r="B51" s="107"/>
      <c r="C51" s="47" t="s">
        <v>105</v>
      </c>
      <c r="D51" s="40"/>
      <c r="E51" s="40"/>
    </row>
    <row r="52" spans="1:5" ht="15.6">
      <c r="A52" s="104"/>
      <c r="B52" s="107"/>
      <c r="C52" s="47" t="s">
        <v>30</v>
      </c>
      <c r="D52" s="40"/>
      <c r="E52" s="40"/>
    </row>
    <row r="53" spans="1:5" ht="15.6">
      <c r="A53" s="105"/>
      <c r="B53" s="108"/>
      <c r="C53" s="47" t="s">
        <v>535</v>
      </c>
      <c r="D53" s="40"/>
      <c r="E53" s="40"/>
    </row>
    <row r="54" spans="1:5" ht="15.6">
      <c r="A54" s="114">
        <v>6</v>
      </c>
      <c r="B54" s="125">
        <v>46066</v>
      </c>
      <c r="C54" s="41" t="s">
        <v>8</v>
      </c>
      <c r="D54" s="40">
        <v>1324000</v>
      </c>
      <c r="E54" s="40"/>
    </row>
    <row r="55" spans="1:5" ht="15.6">
      <c r="A55" s="140"/>
      <c r="B55" s="125"/>
      <c r="C55" s="47" t="s">
        <v>536</v>
      </c>
      <c r="D55" s="40"/>
      <c r="E55" s="40"/>
    </row>
    <row r="56" spans="1:5" ht="15.6">
      <c r="A56" s="140"/>
      <c r="B56" s="125"/>
      <c r="C56" s="47" t="s">
        <v>537</v>
      </c>
      <c r="D56" s="40"/>
      <c r="E56" s="40"/>
    </row>
    <row r="57" spans="1:5" ht="15.6">
      <c r="A57" s="140"/>
      <c r="B57" s="125"/>
      <c r="C57" s="47" t="s">
        <v>375</v>
      </c>
      <c r="D57" s="40"/>
      <c r="E57" s="40"/>
    </row>
    <row r="58" spans="1:5" ht="15.6">
      <c r="A58" s="140"/>
      <c r="B58" s="125"/>
      <c r="C58" s="47" t="s">
        <v>181</v>
      </c>
      <c r="D58" s="40"/>
      <c r="E58" s="40"/>
    </row>
    <row r="59" spans="1:5" ht="15.6">
      <c r="A59" s="140"/>
      <c r="B59" s="125"/>
      <c r="C59" s="47" t="s">
        <v>538</v>
      </c>
      <c r="D59" s="40"/>
      <c r="E59" s="40"/>
    </row>
    <row r="60" spans="1:5" ht="15.6">
      <c r="A60" s="140"/>
      <c r="B60" s="125"/>
      <c r="C60" s="47" t="s">
        <v>322</v>
      </c>
      <c r="D60" s="40"/>
      <c r="E60" s="40"/>
    </row>
    <row r="61" spans="1:5" ht="15.6">
      <c r="A61" s="140"/>
      <c r="B61" s="125"/>
      <c r="C61" s="47" t="s">
        <v>539</v>
      </c>
      <c r="D61" s="40"/>
      <c r="E61" s="40"/>
    </row>
    <row r="62" spans="1:5" ht="15.6">
      <c r="A62" s="116"/>
      <c r="B62" s="125"/>
      <c r="C62" s="55" t="s">
        <v>118</v>
      </c>
      <c r="D62" s="40"/>
      <c r="E62" s="40"/>
    </row>
    <row r="63" spans="1:5" ht="15.6">
      <c r="A63" s="103">
        <v>7</v>
      </c>
      <c r="B63" s="106">
        <v>46074</v>
      </c>
      <c r="C63" s="41" t="s">
        <v>106</v>
      </c>
      <c r="D63" s="34"/>
      <c r="E63" s="40">
        <v>2837000</v>
      </c>
    </row>
    <row r="64" spans="1:5" ht="15.6">
      <c r="A64" s="104"/>
      <c r="B64" s="107"/>
      <c r="C64" s="42" t="s">
        <v>542</v>
      </c>
      <c r="D64" s="40"/>
      <c r="E64" s="40"/>
    </row>
    <row r="65" spans="1:5" ht="15.6">
      <c r="A65" s="104"/>
      <c r="B65" s="107"/>
      <c r="C65" s="42" t="s">
        <v>384</v>
      </c>
      <c r="D65" s="40"/>
      <c r="E65" s="40"/>
    </row>
    <row r="66" spans="1:5" ht="15.6">
      <c r="A66" s="104"/>
      <c r="B66" s="107"/>
      <c r="C66" s="47" t="s">
        <v>184</v>
      </c>
      <c r="D66" s="40"/>
      <c r="E66" s="40"/>
    </row>
    <row r="67" spans="1:5" ht="15.6">
      <c r="A67" s="104"/>
      <c r="B67" s="107"/>
      <c r="C67" s="41" t="s">
        <v>8</v>
      </c>
      <c r="D67" s="40">
        <v>1043000</v>
      </c>
      <c r="E67" s="40"/>
    </row>
    <row r="68" spans="1:5" ht="15.6">
      <c r="A68" s="104"/>
      <c r="B68" s="107"/>
      <c r="C68" s="47" t="s">
        <v>550</v>
      </c>
      <c r="D68" s="40"/>
      <c r="E68" s="40"/>
    </row>
    <row r="69" spans="1:5" ht="15.6">
      <c r="A69" s="104"/>
      <c r="B69" s="107"/>
      <c r="C69" s="47" t="s">
        <v>227</v>
      </c>
      <c r="D69" s="40"/>
      <c r="E69" s="40"/>
    </row>
    <row r="70" spans="1:5" ht="15.6">
      <c r="A70" s="104"/>
      <c r="B70" s="107"/>
      <c r="C70" s="47" t="s">
        <v>519</v>
      </c>
      <c r="D70" s="40"/>
      <c r="E70" s="40"/>
    </row>
    <row r="71" spans="1:5" ht="15.6">
      <c r="A71" s="104"/>
      <c r="B71" s="107"/>
      <c r="C71" s="47" t="s">
        <v>79</v>
      </c>
      <c r="D71" s="40"/>
      <c r="E71" s="40"/>
    </row>
    <row r="72" spans="1:5" ht="15.6">
      <c r="A72" s="104"/>
      <c r="B72" s="107"/>
      <c r="C72" s="47" t="s">
        <v>510</v>
      </c>
      <c r="D72" s="40"/>
      <c r="E72" s="40"/>
    </row>
    <row r="73" spans="1:5" ht="15.6">
      <c r="A73" s="104"/>
      <c r="B73" s="107"/>
      <c r="C73" s="47" t="s">
        <v>549</v>
      </c>
      <c r="D73" s="40"/>
      <c r="E73" s="40"/>
    </row>
    <row r="74" spans="1:5" ht="15.6">
      <c r="A74" s="104"/>
      <c r="B74" s="107"/>
      <c r="C74" s="47" t="s">
        <v>75</v>
      </c>
      <c r="D74" s="40"/>
      <c r="E74" s="40"/>
    </row>
    <row r="75" spans="1:5" ht="15.6">
      <c r="A75" s="103">
        <v>8</v>
      </c>
      <c r="B75" s="106">
        <v>46077</v>
      </c>
      <c r="C75" s="41" t="s">
        <v>8</v>
      </c>
      <c r="D75" s="40">
        <v>1068000</v>
      </c>
      <c r="E75" s="40"/>
    </row>
    <row r="76" spans="1:5" ht="15.6">
      <c r="A76" s="104"/>
      <c r="B76" s="107"/>
      <c r="C76" s="47" t="s">
        <v>484</v>
      </c>
      <c r="D76" s="40"/>
      <c r="E76" s="40"/>
    </row>
    <row r="77" spans="1:5" ht="15.6">
      <c r="A77" s="104"/>
      <c r="B77" s="107"/>
      <c r="C77" s="47" t="s">
        <v>227</v>
      </c>
      <c r="D77" s="40"/>
      <c r="E77" s="40"/>
    </row>
    <row r="78" spans="1:5" ht="15.6">
      <c r="A78" s="104"/>
      <c r="B78" s="107"/>
      <c r="C78" s="47" t="s">
        <v>519</v>
      </c>
      <c r="D78" s="40"/>
      <c r="E78" s="40"/>
    </row>
    <row r="79" spans="1:5" ht="15.6">
      <c r="A79" s="104"/>
      <c r="B79" s="107"/>
      <c r="C79" s="47" t="s">
        <v>12</v>
      </c>
      <c r="D79" s="40"/>
      <c r="E79" s="40"/>
    </row>
    <row r="80" spans="1:5" ht="15.6">
      <c r="A80" s="104"/>
      <c r="B80" s="107"/>
      <c r="C80" s="47" t="s">
        <v>181</v>
      </c>
      <c r="D80" s="40"/>
      <c r="E80" s="40"/>
    </row>
    <row r="81" spans="1:5" ht="15.6">
      <c r="A81" s="104"/>
      <c r="B81" s="107"/>
      <c r="C81" s="47" t="s">
        <v>549</v>
      </c>
      <c r="D81" s="40"/>
      <c r="E81" s="40"/>
    </row>
    <row r="82" spans="1:5" ht="15.6">
      <c r="A82" s="105"/>
      <c r="B82" s="108"/>
      <c r="C82" s="47" t="s">
        <v>322</v>
      </c>
      <c r="D82" s="40"/>
      <c r="E82" s="40"/>
    </row>
    <row r="83" spans="1:5" ht="15.6">
      <c r="A83" s="36">
        <v>9</v>
      </c>
      <c r="B83" s="82">
        <v>46079</v>
      </c>
      <c r="C83" s="56" t="s">
        <v>543</v>
      </c>
      <c r="D83" s="40"/>
      <c r="E83" s="40">
        <v>1500000</v>
      </c>
    </row>
    <row r="84" spans="1:5" ht="15.6">
      <c r="A84" s="124">
        <v>10</v>
      </c>
      <c r="B84" s="125">
        <v>46081</v>
      </c>
      <c r="C84" s="41" t="s">
        <v>8</v>
      </c>
      <c r="D84" s="40">
        <v>572000</v>
      </c>
      <c r="E84" s="40"/>
    </row>
    <row r="85" spans="1:5" ht="15.6">
      <c r="A85" s="124"/>
      <c r="B85" s="125"/>
      <c r="C85" s="55" t="s">
        <v>548</v>
      </c>
      <c r="D85" s="40"/>
      <c r="E85" s="40"/>
    </row>
    <row r="86" spans="1:5" ht="15.6">
      <c r="A86" s="124"/>
      <c r="B86" s="125"/>
      <c r="C86" s="55" t="s">
        <v>544</v>
      </c>
      <c r="D86" s="40"/>
      <c r="E86" s="40"/>
    </row>
    <row r="87" spans="1:5" ht="15.6">
      <c r="A87" s="124"/>
      <c r="B87" s="125"/>
      <c r="C87" s="47" t="s">
        <v>547</v>
      </c>
      <c r="D87" s="40"/>
      <c r="E87" s="40"/>
    </row>
    <row r="88" spans="1:5" ht="15.6">
      <c r="A88" s="124"/>
      <c r="B88" s="125"/>
      <c r="C88" s="47" t="s">
        <v>484</v>
      </c>
      <c r="D88" s="40"/>
      <c r="E88" s="40"/>
    </row>
    <row r="89" spans="1:5" ht="15.6">
      <c r="A89" s="124"/>
      <c r="B89" s="125"/>
      <c r="C89" s="47" t="s">
        <v>221</v>
      </c>
      <c r="D89" s="40"/>
      <c r="E89" s="40"/>
    </row>
    <row r="90" spans="1:5" ht="15.6">
      <c r="A90" s="124"/>
      <c r="B90" s="125"/>
      <c r="C90" s="56"/>
      <c r="D90" s="40"/>
      <c r="E90" s="40"/>
    </row>
    <row r="91" spans="1:5" ht="15.6">
      <c r="A91" s="114" t="s">
        <v>13</v>
      </c>
      <c r="B91" s="115"/>
      <c r="C91" s="48" t="s">
        <v>524</v>
      </c>
      <c r="D91" s="46">
        <f>SUM(D10+D25+D34+D41+D48+D75+D54+D67+D84)</f>
        <v>8104000</v>
      </c>
      <c r="E91" s="44">
        <f>SUM(E63+E44+E90+E83)</f>
        <v>6703000</v>
      </c>
    </row>
    <row r="92" spans="1:5" ht="15.6">
      <c r="A92" s="116"/>
      <c r="B92" s="117"/>
      <c r="C92" s="47"/>
      <c r="D92" s="44">
        <f>SUM(D91-E91)</f>
        <v>1401000</v>
      </c>
      <c r="E92" s="44"/>
    </row>
    <row r="93" spans="1:5" ht="15.6">
      <c r="A93" s="51"/>
      <c r="B93" s="51"/>
    </row>
    <row r="102" spans="1:5" ht="15.6">
      <c r="C102" s="51"/>
      <c r="D102" s="51"/>
      <c r="E102" s="49"/>
    </row>
    <row r="103" spans="1:5" ht="15.6">
      <c r="A103" s="34"/>
      <c r="B103" s="34"/>
      <c r="C103" s="34"/>
    </row>
    <row r="104" spans="1:5" ht="15.6">
      <c r="A104" s="35"/>
      <c r="B104" s="50"/>
      <c r="C104" s="34"/>
      <c r="D104" s="52"/>
      <c r="E104" s="49"/>
    </row>
    <row r="105" spans="1:5" ht="15.6">
      <c r="A105" s="35"/>
      <c r="B105" s="50"/>
      <c r="C105" s="34"/>
      <c r="D105" s="52"/>
      <c r="E105" s="52"/>
    </row>
    <row r="106" spans="1:5" ht="15.6">
      <c r="A106" s="53"/>
      <c r="B106" s="50"/>
      <c r="C106" s="34"/>
      <c r="D106" s="52"/>
      <c r="E106" s="52"/>
    </row>
    <row r="107" spans="1:5" ht="15.6">
      <c r="A107" s="53"/>
      <c r="B107" s="34"/>
      <c r="C107" s="34"/>
      <c r="D107" s="52"/>
      <c r="E107" s="52"/>
    </row>
    <row r="108" spans="1:5" ht="15.6">
      <c r="A108" s="53"/>
      <c r="B108" s="34"/>
      <c r="C108" s="34"/>
      <c r="D108" s="34"/>
      <c r="E108" s="52"/>
    </row>
    <row r="109" spans="1:5" ht="15.6">
      <c r="A109" s="53"/>
      <c r="B109" s="34"/>
      <c r="C109" s="34"/>
      <c r="D109" s="34"/>
      <c r="E109" s="34"/>
    </row>
    <row r="110" spans="1:5" ht="15.6">
      <c r="A110" s="53"/>
      <c r="B110" s="34"/>
      <c r="C110" s="34"/>
      <c r="D110" s="34"/>
      <c r="E110" s="34"/>
    </row>
    <row r="111" spans="1:5" ht="15.6">
      <c r="A111" s="53"/>
      <c r="B111" s="34"/>
      <c r="C111" s="51"/>
      <c r="D111" s="34"/>
      <c r="E111" s="34"/>
    </row>
    <row r="112" spans="1:5" ht="15.6">
      <c r="A112" s="53"/>
      <c r="B112" s="34"/>
      <c r="C112" s="51"/>
      <c r="D112" s="34"/>
      <c r="E112" s="34"/>
    </row>
    <row r="113" spans="1:5" ht="15.6">
      <c r="A113" s="34"/>
      <c r="B113" s="34"/>
      <c r="C113" s="51"/>
      <c r="D113" s="34"/>
      <c r="E113" s="34"/>
    </row>
    <row r="114" spans="1:5" ht="15.6">
      <c r="A114" s="34"/>
      <c r="B114" s="34"/>
      <c r="C114" s="51"/>
      <c r="D114" s="34"/>
      <c r="E114" s="34"/>
    </row>
    <row r="115" spans="1:5" ht="15.6">
      <c r="A115" s="34"/>
      <c r="B115" s="34"/>
      <c r="C115" s="34"/>
      <c r="D115" s="34"/>
      <c r="E115" s="34"/>
    </row>
    <row r="116" spans="1:5" ht="15.6">
      <c r="A116" s="34"/>
      <c r="B116" s="34"/>
      <c r="C116" s="34"/>
      <c r="D116" s="34"/>
      <c r="E116" s="34"/>
    </row>
    <row r="117" spans="1:5" ht="15.6">
      <c r="A117" s="34"/>
      <c r="B117" s="34"/>
      <c r="C117" s="34"/>
      <c r="D117" s="34"/>
      <c r="E117" s="34"/>
    </row>
    <row r="118" spans="1:5" ht="15.6">
      <c r="A118" s="34"/>
      <c r="B118" s="34"/>
      <c r="C118" s="34"/>
      <c r="D118" s="34"/>
      <c r="E118" s="34"/>
    </row>
    <row r="119" spans="1:5" ht="15.6">
      <c r="A119" s="34"/>
      <c r="B119" s="34"/>
      <c r="C119" s="34"/>
      <c r="D119" s="34"/>
      <c r="E119" s="34"/>
    </row>
    <row r="120" spans="1:5" ht="15.6">
      <c r="A120" s="34"/>
      <c r="B120" s="34"/>
      <c r="C120" s="34"/>
      <c r="D120" s="34"/>
      <c r="E120" s="34"/>
    </row>
    <row r="121" spans="1:5" ht="15.6">
      <c r="A121" s="34"/>
      <c r="B121" s="34"/>
      <c r="C121" s="34"/>
      <c r="D121" s="34"/>
      <c r="E121" s="34"/>
    </row>
    <row r="122" spans="1:5" ht="15.6">
      <c r="A122" s="34"/>
      <c r="B122" s="34"/>
      <c r="C122" s="34"/>
      <c r="D122" s="34"/>
      <c r="E122" s="34"/>
    </row>
  </sheetData>
  <mergeCells count="22">
    <mergeCell ref="A1:E6"/>
    <mergeCell ref="A7:E7"/>
    <mergeCell ref="A8:E8"/>
    <mergeCell ref="A75:A82"/>
    <mergeCell ref="B75:B82"/>
    <mergeCell ref="A91:B92"/>
    <mergeCell ref="A10:A24"/>
    <mergeCell ref="A54:A62"/>
    <mergeCell ref="B54:B62"/>
    <mergeCell ref="B44:B53"/>
    <mergeCell ref="A44:A53"/>
    <mergeCell ref="B10:B24"/>
    <mergeCell ref="A25:A33"/>
    <mergeCell ref="B25:B33"/>
    <mergeCell ref="A34:A40"/>
    <mergeCell ref="B34:B40"/>
    <mergeCell ref="A41:A43"/>
    <mergeCell ref="B41:B43"/>
    <mergeCell ref="A63:A74"/>
    <mergeCell ref="B63:B74"/>
    <mergeCell ref="A84:A90"/>
    <mergeCell ref="B84:B90"/>
  </mergeCells>
  <printOptions horizontalCentered="1" verticalCentered="1"/>
  <pageMargins left="0.7" right="0.7" top="0.75" bottom="0.75" header="0.3" footer="0.3"/>
  <pageSetup paperSize="9" scale="78" fitToHeight="0" orientation="landscape" horizontalDpi="4294967293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041DC-D4A6-4884-BE71-0EB4B450A48B}">
  <dimension ref="A1:E42"/>
  <sheetViews>
    <sheetView zoomScale="62" workbookViewId="0">
      <selection activeCell="C25" sqref="C25"/>
    </sheetView>
  </sheetViews>
  <sheetFormatPr defaultRowHeight="14.4"/>
  <cols>
    <col min="3" max="3" width="65.109375" customWidth="1"/>
    <col min="4" max="4" width="27.6640625" customWidth="1"/>
    <col min="5" max="5" width="21.21875" customWidth="1"/>
  </cols>
  <sheetData>
    <row r="1" spans="1:5">
      <c r="A1" s="109"/>
      <c r="B1" s="110"/>
      <c r="C1" s="110"/>
      <c r="D1" s="110"/>
      <c r="E1" s="110"/>
    </row>
    <row r="2" spans="1:5">
      <c r="A2" s="110"/>
      <c r="B2" s="110"/>
      <c r="C2" s="110"/>
      <c r="D2" s="110"/>
      <c r="E2" s="110"/>
    </row>
    <row r="3" spans="1:5">
      <c r="A3" s="110"/>
      <c r="B3" s="110"/>
      <c r="C3" s="110"/>
      <c r="D3" s="110"/>
      <c r="E3" s="110"/>
    </row>
    <row r="4" spans="1:5">
      <c r="A4" s="110"/>
      <c r="B4" s="110"/>
      <c r="C4" s="110"/>
      <c r="D4" s="110"/>
      <c r="E4" s="110"/>
    </row>
    <row r="5" spans="1:5">
      <c r="A5" s="110"/>
      <c r="B5" s="110"/>
      <c r="C5" s="110"/>
      <c r="D5" s="110"/>
      <c r="E5" s="110"/>
    </row>
    <row r="6" spans="1:5">
      <c r="A6" s="110"/>
      <c r="B6" s="110"/>
      <c r="C6" s="110"/>
      <c r="D6" s="110"/>
      <c r="E6" s="110"/>
    </row>
    <row r="7" spans="1:5" ht="15.6">
      <c r="A7" s="111" t="s">
        <v>0</v>
      </c>
      <c r="B7" s="111"/>
      <c r="C7" s="111"/>
      <c r="D7" s="111"/>
      <c r="E7" s="111"/>
    </row>
    <row r="8" spans="1:5" ht="15.6">
      <c r="A8" s="112" t="s">
        <v>545</v>
      </c>
      <c r="B8" s="112"/>
      <c r="C8" s="112"/>
      <c r="D8" s="112"/>
      <c r="E8" s="112"/>
    </row>
    <row r="9" spans="1:5" ht="15.6">
      <c r="A9" s="36" t="s">
        <v>1</v>
      </c>
      <c r="B9" s="37" t="s">
        <v>2</v>
      </c>
      <c r="C9" s="36" t="s">
        <v>3</v>
      </c>
      <c r="D9" s="40" t="s">
        <v>4</v>
      </c>
      <c r="E9" s="40" t="s">
        <v>5</v>
      </c>
    </row>
    <row r="10" spans="1:5" ht="15.6">
      <c r="A10" s="80">
        <v>1</v>
      </c>
      <c r="B10" s="81">
        <v>46082</v>
      </c>
      <c r="C10" s="41" t="s">
        <v>546</v>
      </c>
      <c r="D10" s="46"/>
      <c r="E10" s="40"/>
    </row>
    <row r="11" spans="1:5" ht="15.6">
      <c r="A11" s="114" t="s">
        <v>13</v>
      </c>
      <c r="B11" s="115"/>
      <c r="C11" s="48" t="s">
        <v>524</v>
      </c>
      <c r="D11" s="46" t="e">
        <f>SUM(D10+#REF!+#REF!+#REF!+#REF!+#REF!+#REF!+#REF!+#REF!)</f>
        <v>#REF!</v>
      </c>
      <c r="E11" s="44" t="e">
        <f>SUM(#REF!+#REF!+#REF!)</f>
        <v>#REF!</v>
      </c>
    </row>
    <row r="12" spans="1:5" ht="15.6">
      <c r="A12" s="116"/>
      <c r="B12" s="117"/>
      <c r="C12" s="47"/>
      <c r="D12" s="44" t="e">
        <f>SUM(D11-E11)</f>
        <v>#REF!</v>
      </c>
      <c r="E12" s="44"/>
    </row>
    <row r="13" spans="1:5" ht="15.6">
      <c r="A13" s="51"/>
      <c r="B13" s="51"/>
    </row>
    <row r="22" spans="1:5" ht="15.6">
      <c r="C22" s="51"/>
      <c r="D22" s="51"/>
      <c r="E22" s="49"/>
    </row>
    <row r="23" spans="1:5" ht="15.6">
      <c r="A23" s="34"/>
      <c r="B23" s="34"/>
      <c r="C23" s="34"/>
    </row>
    <row r="24" spans="1:5" ht="15.6">
      <c r="A24" s="35"/>
      <c r="B24" s="50"/>
      <c r="C24" s="34"/>
      <c r="D24" s="52"/>
      <c r="E24" s="49"/>
    </row>
    <row r="25" spans="1:5" ht="15.6">
      <c r="A25" s="35"/>
      <c r="B25" s="50"/>
      <c r="C25" s="34"/>
      <c r="D25" s="52"/>
      <c r="E25" s="52"/>
    </row>
    <row r="26" spans="1:5" ht="15.6">
      <c r="A26" s="53"/>
      <c r="B26" s="50"/>
      <c r="C26" s="34"/>
      <c r="D26" s="52"/>
      <c r="E26" s="52"/>
    </row>
    <row r="27" spans="1:5" ht="15.6">
      <c r="A27" s="53"/>
      <c r="B27" s="34"/>
      <c r="C27" s="34"/>
      <c r="D27" s="52"/>
      <c r="E27" s="52"/>
    </row>
    <row r="28" spans="1:5" ht="15.6">
      <c r="A28" s="53"/>
      <c r="B28" s="34"/>
      <c r="C28" s="34"/>
      <c r="D28" s="34"/>
      <c r="E28" s="52"/>
    </row>
    <row r="29" spans="1:5" ht="15.6">
      <c r="A29" s="53"/>
      <c r="B29" s="34"/>
      <c r="C29" s="34"/>
      <c r="D29" s="34"/>
      <c r="E29" s="34"/>
    </row>
    <row r="30" spans="1:5" ht="15.6">
      <c r="A30" s="53"/>
      <c r="B30" s="34"/>
      <c r="C30" s="34"/>
      <c r="D30" s="34"/>
      <c r="E30" s="34"/>
    </row>
    <row r="31" spans="1:5" ht="15.6">
      <c r="A31" s="53"/>
      <c r="B31" s="34"/>
      <c r="C31" s="51"/>
      <c r="D31" s="34"/>
      <c r="E31" s="34"/>
    </row>
    <row r="32" spans="1:5" ht="15.6">
      <c r="A32" s="53"/>
      <c r="B32" s="34"/>
      <c r="C32" s="51"/>
      <c r="D32" s="34"/>
      <c r="E32" s="34"/>
    </row>
    <row r="33" spans="1:5" ht="15.6">
      <c r="A33" s="34"/>
      <c r="B33" s="34"/>
      <c r="C33" s="51"/>
      <c r="D33" s="34"/>
      <c r="E33" s="34"/>
    </row>
    <row r="34" spans="1:5" ht="15.6">
      <c r="A34" s="34"/>
      <c r="B34" s="34"/>
      <c r="C34" s="51"/>
      <c r="D34" s="34"/>
      <c r="E34" s="34"/>
    </row>
    <row r="35" spans="1:5" ht="15.6">
      <c r="A35" s="34"/>
      <c r="B35" s="34"/>
      <c r="C35" s="34"/>
      <c r="D35" s="34"/>
      <c r="E35" s="34"/>
    </row>
    <row r="36" spans="1:5" ht="15.6">
      <c r="A36" s="34"/>
      <c r="B36" s="34"/>
      <c r="C36" s="34"/>
      <c r="D36" s="34"/>
      <c r="E36" s="34"/>
    </row>
    <row r="37" spans="1:5" ht="15.6">
      <c r="A37" s="34"/>
      <c r="B37" s="34"/>
      <c r="C37" s="34"/>
      <c r="D37" s="34"/>
      <c r="E37" s="34"/>
    </row>
    <row r="38" spans="1:5" ht="15.6">
      <c r="A38" s="34"/>
      <c r="B38" s="34"/>
      <c r="C38" s="34"/>
      <c r="D38" s="34"/>
      <c r="E38" s="34"/>
    </row>
    <row r="39" spans="1:5" ht="15.6">
      <c r="A39" s="34"/>
      <c r="B39" s="34"/>
      <c r="C39" s="34"/>
      <c r="D39" s="34"/>
      <c r="E39" s="34"/>
    </row>
    <row r="40" spans="1:5" ht="15.6">
      <c r="A40" s="34"/>
      <c r="B40" s="34"/>
      <c r="C40" s="34"/>
      <c r="D40" s="34"/>
      <c r="E40" s="34"/>
    </row>
    <row r="41" spans="1:5" ht="15.6">
      <c r="A41" s="34"/>
      <c r="B41" s="34"/>
      <c r="C41" s="34"/>
      <c r="D41" s="34"/>
      <c r="E41" s="34"/>
    </row>
    <row r="42" spans="1:5" ht="15.6">
      <c r="A42" s="34"/>
      <c r="B42" s="34"/>
      <c r="C42" s="34"/>
      <c r="D42" s="34"/>
      <c r="E42" s="34"/>
    </row>
  </sheetData>
  <mergeCells count="4">
    <mergeCell ref="A11:B12"/>
    <mergeCell ref="A1:E6"/>
    <mergeCell ref="A7:E7"/>
    <mergeCell ref="A8:E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SEP</vt:lpstr>
      <vt:lpstr>OKT</vt:lpstr>
      <vt:lpstr>NOV</vt:lpstr>
      <vt:lpstr>SISA BARANG NOV</vt:lpstr>
      <vt:lpstr>SISA DES</vt:lpstr>
      <vt:lpstr>DES</vt:lpstr>
      <vt:lpstr>KENAIKAN HARGA</vt:lpstr>
      <vt:lpstr>JAN</vt:lpstr>
      <vt:lpstr>FEB</vt:lpstr>
      <vt:lpstr>MAR</vt:lpstr>
      <vt:lpstr>SEP!Print_Area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Rayhan Firdaus</dc:creator>
  <cp:lastModifiedBy>Dzaky Duaja Manurung</cp:lastModifiedBy>
  <cp:lastPrinted>2026-03-02T06:22:23Z</cp:lastPrinted>
  <dcterms:created xsi:type="dcterms:W3CDTF">2024-08-05T16:53:00Z</dcterms:created>
  <dcterms:modified xsi:type="dcterms:W3CDTF">2026-03-02T06:23:45Z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2057-12.2.0.21183</vt:lpwstr>
  </property>
  <property fmtid="{D5CDD505-2E9C-101B-9397-08002B2CF9AE}" pid="3" name="ICV">
    <vt:lpwstr>12F9ED369D8B4C1E9A5B6A667D4A8998_13</vt:lpwstr>
  </property>
</Properties>
</file>